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z359/PycharmProjects/BI/alfalfa_haplotype_db/data/"/>
    </mc:Choice>
  </mc:AlternateContent>
  <xr:revisionPtr revIDLastSave="0" documentId="13_ncr:1_{CF23C73F-8E48-B348-A458-C27441C95736}" xr6:coauthVersionLast="47" xr6:coauthVersionMax="47" xr10:uidLastSave="{00000000-0000-0000-0000-000000000000}"/>
  <bookViews>
    <workbookView xWindow="0" yWindow="500" windowWidth="38400" windowHeight="20060" xr2:uid="{00000000-000D-0000-FFFF-FFFF00000000}"/>
  </bookViews>
  <sheets>
    <sheet name="hapDB" sheetId="2" r:id="rId1"/>
    <sheet name="haplotype_ID" sheetId="3" r:id="rId2"/>
    <sheet name="chr_length" sheetId="6" r:id="rId3"/>
    <sheet name="mis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" i="6" l="1"/>
  <c r="D3" i="6"/>
  <c r="D4" i="6"/>
  <c r="D5" i="6"/>
  <c r="D6" i="6"/>
  <c r="D7" i="6"/>
  <c r="D8" i="6"/>
  <c r="D1" i="6"/>
  <c r="F15" i="3"/>
  <c r="F16" i="3"/>
  <c r="F17" i="3"/>
  <c r="F10" i="3"/>
  <c r="F11" i="3"/>
  <c r="F12" i="3"/>
  <c r="F13" i="3"/>
  <c r="F14" i="3"/>
  <c r="F9" i="3"/>
  <c r="F8" i="3"/>
  <c r="F7" i="3"/>
  <c r="F6" i="3"/>
  <c r="F5" i="3"/>
  <c r="F4" i="3"/>
  <c r="F3" i="3"/>
  <c r="F2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</calcChain>
</file>

<file path=xl/sharedStrings.xml><?xml version="1.0" encoding="utf-8"?>
<sst xmlns="http://schemas.openxmlformats.org/spreadsheetml/2006/main" count="111" uniqueCount="58">
  <si>
    <t>VaccDscaff11_000263165|Ref_001</t>
  </si>
  <si>
    <t>VaccDscaff11_000263165</t>
  </si>
  <si>
    <t>VaccDscaff11_000263165|Alt_002</t>
  </si>
  <si>
    <t>VaccDscaff11_000263165|RefMatch_003</t>
  </si>
  <si>
    <t>VaccDscaff11_000263165|RefMatch_004</t>
  </si>
  <si>
    <t>VaccDscaff11_000263165|RefMatch_005</t>
  </si>
  <si>
    <t>VaccDscaff11_000263165|RefMatch_006</t>
  </si>
  <si>
    <t>VaccDscaff11_000263165|RefMatch_007</t>
  </si>
  <si>
    <t>VaccDscaff11_000263165|RefMatch_008</t>
  </si>
  <si>
    <t>VaccDscaff11_000480009|Ref_001</t>
  </si>
  <si>
    <t>VaccDscaff11_000480009</t>
  </si>
  <si>
    <t>VaccDscaff11_000480009|Alt_002</t>
  </si>
  <si>
    <t>VaccDscaff11_000480009|RefMatch_003</t>
  </si>
  <si>
    <t>VaccDscaff11_000480009|Other_004</t>
  </si>
  <si>
    <t>VaccDscaff11_000762596|Ref_001</t>
  </si>
  <si>
    <t>VaccDscaff11_000762596</t>
  </si>
  <si>
    <t>VaccDscaff11_000762596|Alt_002</t>
  </si>
  <si>
    <t>VaccDscaff11_000969118|Ref_001</t>
  </si>
  <si>
    <t>VaccDscaff11_000969118</t>
  </si>
  <si>
    <t>VaccDscaff11_000969118|Alt_002</t>
  </si>
  <si>
    <t>VaccDscaff11_000969118|RefMatch_003</t>
  </si>
  <si>
    <t>VaccDscaff11_000969118|RefMatch_004</t>
  </si>
  <si>
    <t>VaccDscaff11_000969118|RefMatch_005</t>
  </si>
  <si>
    <t>VaccDscaff11_001205555|Ref_001</t>
  </si>
  <si>
    <t>VaccDscaff11_001205555</t>
  </si>
  <si>
    <t>VaccDscaff11_001205555|Alt_002</t>
  </si>
  <si>
    <t>VaccDscaff11_001337505|Ref_001</t>
  </si>
  <si>
    <t>VaccDscaff11_001337505</t>
  </si>
  <si>
    <t>VaccDscaff11_001337505|Alt_002</t>
  </si>
  <si>
    <t>VaccDscaff11_001337505|RefMatch_003</t>
  </si>
  <si>
    <t>VaccDscaff11_001337505|RefMatch_004</t>
  </si>
  <si>
    <t>VaccDscaff11_001337505|RefMatch_005</t>
  </si>
  <si>
    <t>VaccDscaff11_001337505|RefMatch_006</t>
  </si>
  <si>
    <t>VaccDscaff11_001337505|AltMatch_007</t>
  </si>
  <si>
    <t>CloneID (BI_Marker_ID)</t>
  </si>
  <si>
    <t>DArT_Haplotype_ID</t>
  </si>
  <si>
    <t>Fixed_DArT_Haplotype_ID</t>
  </si>
  <si>
    <t>VaccDscaff11_000263165|RefMatch_001</t>
  </si>
  <si>
    <t>VaccDscaff11_000263165|RefMatch_002</t>
  </si>
  <si>
    <t>VaccDscaff11_000263165|AltMatch_001</t>
  </si>
  <si>
    <t>VaccDscaff11_000263165|RefMatch_009</t>
  </si>
  <si>
    <t>VaccDscaff11_000263165|RefMatch_010</t>
  </si>
  <si>
    <t>VaccDscaff11_000263165|AltMatch_002</t>
  </si>
  <si>
    <t>VaccDscaff11_000263165|AltMatch_003</t>
  </si>
  <si>
    <t>VaccDscaff11_000263165|AltMatch_004</t>
  </si>
  <si>
    <t>missing_percent (&lt;10 reads)</t>
  </si>
  <si>
    <t>missing_count (&lt;10 reads)</t>
  </si>
  <si>
    <t>==&gt; DAl21-6024_Counts_missing_allele_discovery_updated_plate17_18_rename_miss.csv &lt;==</t>
  </si>
  <si>
    <t>==&gt; DAl21-5779_Counts_missing_allele_discovery_plate16_19_rename_miss.csv &lt;==</t>
  </si>
  <si>
    <t>chr1.1</t>
  </si>
  <si>
    <t>chr2.1</t>
  </si>
  <si>
    <t>chr3.1</t>
  </si>
  <si>
    <t>chr4.1</t>
  </si>
  <si>
    <t>chr5.1</t>
  </si>
  <si>
    <t>chr6.1</t>
  </si>
  <si>
    <t>chr7.1</t>
  </si>
  <si>
    <t>chr8.1</t>
  </si>
  <si>
    <t>Explaining why fewer haplotypes added to the 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</si>
</sst>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43" fontId="19" fillId="0" borderId="0" applyFont="0" applyFill="0" applyBorder="0" applyAlignment="0" applyProtection="0"/>
  </cellStyleXfs>
  <cellXfs count="6">
    <xf numFmtId="0" fontId="0" fillId="0" borderId="0" xfId="0"/>
    <xf numFmtId="0" fontId="0" fillId="0" borderId="11" xfId="0" applyBorder="1"/>
    <xf numFmtId="0" fontId="16" fillId="0" borderId="10" xfId="0" applyFont="1" applyBorder="1"/>
    <xf numFmtId="0" fontId="16" fillId="0" borderId="0" xfId="0" applyFont="1"/>
    <xf numFmtId="0" fontId="14" fillId="0" borderId="0" xfId="0" applyFont="1"/>
    <xf numFmtId="0" fontId="14" fillId="0" borderId="11" xfId="0" applyFont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3" xr:uid="{BE972042-4756-C74F-8D45-EB9869597FA4}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B3EA628-0E15-1F47-8FAA-11A58ADE0FC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miss!$A$2</c:f>
              <c:strCache>
                <c:ptCount val="1"/>
                <c:pt idx="0">
                  <c:v>missing_count (&lt;10 reads)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miss!$B$2:$GG$2</c:f>
              <c:numCache>
                <c:formatCode>General</c:formatCode>
                <c:ptCount val="188"/>
                <c:pt idx="0">
                  <c:v>203</c:v>
                </c:pt>
                <c:pt idx="1">
                  <c:v>378</c:v>
                </c:pt>
                <c:pt idx="2">
                  <c:v>212</c:v>
                </c:pt>
                <c:pt idx="3">
                  <c:v>299</c:v>
                </c:pt>
                <c:pt idx="4">
                  <c:v>279</c:v>
                </c:pt>
                <c:pt idx="5">
                  <c:v>232</c:v>
                </c:pt>
                <c:pt idx="6">
                  <c:v>294</c:v>
                </c:pt>
                <c:pt idx="7">
                  <c:v>243</c:v>
                </c:pt>
                <c:pt idx="8">
                  <c:v>247</c:v>
                </c:pt>
                <c:pt idx="9">
                  <c:v>2837</c:v>
                </c:pt>
                <c:pt idx="10">
                  <c:v>247</c:v>
                </c:pt>
                <c:pt idx="11">
                  <c:v>288</c:v>
                </c:pt>
                <c:pt idx="12">
                  <c:v>225</c:v>
                </c:pt>
                <c:pt idx="13">
                  <c:v>258</c:v>
                </c:pt>
                <c:pt idx="14">
                  <c:v>213</c:v>
                </c:pt>
                <c:pt idx="15">
                  <c:v>224</c:v>
                </c:pt>
                <c:pt idx="16">
                  <c:v>232</c:v>
                </c:pt>
                <c:pt idx="17">
                  <c:v>406</c:v>
                </c:pt>
                <c:pt idx="18">
                  <c:v>220</c:v>
                </c:pt>
                <c:pt idx="19">
                  <c:v>252</c:v>
                </c:pt>
                <c:pt idx="20">
                  <c:v>199</c:v>
                </c:pt>
                <c:pt idx="21">
                  <c:v>272</c:v>
                </c:pt>
                <c:pt idx="22">
                  <c:v>1913</c:v>
                </c:pt>
                <c:pt idx="23">
                  <c:v>1209</c:v>
                </c:pt>
                <c:pt idx="24">
                  <c:v>228</c:v>
                </c:pt>
                <c:pt idx="25">
                  <c:v>317</c:v>
                </c:pt>
                <c:pt idx="26">
                  <c:v>227</c:v>
                </c:pt>
                <c:pt idx="27">
                  <c:v>231</c:v>
                </c:pt>
                <c:pt idx="28">
                  <c:v>230</c:v>
                </c:pt>
                <c:pt idx="29">
                  <c:v>247</c:v>
                </c:pt>
                <c:pt idx="30">
                  <c:v>234</c:v>
                </c:pt>
                <c:pt idx="31">
                  <c:v>257</c:v>
                </c:pt>
                <c:pt idx="32">
                  <c:v>216</c:v>
                </c:pt>
                <c:pt idx="33">
                  <c:v>429</c:v>
                </c:pt>
                <c:pt idx="34">
                  <c:v>255</c:v>
                </c:pt>
                <c:pt idx="35">
                  <c:v>252</c:v>
                </c:pt>
                <c:pt idx="36">
                  <c:v>284</c:v>
                </c:pt>
                <c:pt idx="37">
                  <c:v>205</c:v>
                </c:pt>
                <c:pt idx="38">
                  <c:v>2011</c:v>
                </c:pt>
                <c:pt idx="39">
                  <c:v>1911</c:v>
                </c:pt>
                <c:pt idx="40">
                  <c:v>284</c:v>
                </c:pt>
                <c:pt idx="41">
                  <c:v>267</c:v>
                </c:pt>
                <c:pt idx="42">
                  <c:v>350</c:v>
                </c:pt>
                <c:pt idx="43">
                  <c:v>326</c:v>
                </c:pt>
                <c:pt idx="44">
                  <c:v>243</c:v>
                </c:pt>
                <c:pt idx="45">
                  <c:v>258</c:v>
                </c:pt>
                <c:pt idx="46">
                  <c:v>255</c:v>
                </c:pt>
                <c:pt idx="47">
                  <c:v>312</c:v>
                </c:pt>
                <c:pt idx="48">
                  <c:v>256</c:v>
                </c:pt>
                <c:pt idx="49">
                  <c:v>226</c:v>
                </c:pt>
                <c:pt idx="50">
                  <c:v>253</c:v>
                </c:pt>
                <c:pt idx="51">
                  <c:v>273</c:v>
                </c:pt>
                <c:pt idx="52">
                  <c:v>304</c:v>
                </c:pt>
                <c:pt idx="53">
                  <c:v>310</c:v>
                </c:pt>
                <c:pt idx="54">
                  <c:v>245</c:v>
                </c:pt>
                <c:pt idx="55">
                  <c:v>340</c:v>
                </c:pt>
                <c:pt idx="56">
                  <c:v>243</c:v>
                </c:pt>
                <c:pt idx="57">
                  <c:v>263</c:v>
                </c:pt>
                <c:pt idx="58">
                  <c:v>355</c:v>
                </c:pt>
                <c:pt idx="59">
                  <c:v>249</c:v>
                </c:pt>
                <c:pt idx="60">
                  <c:v>236</c:v>
                </c:pt>
                <c:pt idx="61">
                  <c:v>258</c:v>
                </c:pt>
                <c:pt idx="62">
                  <c:v>243</c:v>
                </c:pt>
                <c:pt idx="63">
                  <c:v>235</c:v>
                </c:pt>
                <c:pt idx="64">
                  <c:v>270</c:v>
                </c:pt>
                <c:pt idx="65">
                  <c:v>248</c:v>
                </c:pt>
                <c:pt idx="66">
                  <c:v>226</c:v>
                </c:pt>
                <c:pt idx="67">
                  <c:v>320</c:v>
                </c:pt>
                <c:pt idx="68">
                  <c:v>231</c:v>
                </c:pt>
                <c:pt idx="69">
                  <c:v>2048</c:v>
                </c:pt>
                <c:pt idx="70">
                  <c:v>1563</c:v>
                </c:pt>
                <c:pt idx="71">
                  <c:v>2023</c:v>
                </c:pt>
                <c:pt idx="72">
                  <c:v>225</c:v>
                </c:pt>
                <c:pt idx="73">
                  <c:v>263</c:v>
                </c:pt>
                <c:pt idx="74">
                  <c:v>230</c:v>
                </c:pt>
                <c:pt idx="75">
                  <c:v>232</c:v>
                </c:pt>
                <c:pt idx="76">
                  <c:v>237</c:v>
                </c:pt>
                <c:pt idx="77">
                  <c:v>249</c:v>
                </c:pt>
                <c:pt idx="78">
                  <c:v>247</c:v>
                </c:pt>
                <c:pt idx="79">
                  <c:v>218</c:v>
                </c:pt>
                <c:pt idx="80">
                  <c:v>256</c:v>
                </c:pt>
                <c:pt idx="81">
                  <c:v>300</c:v>
                </c:pt>
                <c:pt idx="82">
                  <c:v>289</c:v>
                </c:pt>
                <c:pt idx="83">
                  <c:v>301</c:v>
                </c:pt>
                <c:pt idx="84">
                  <c:v>200</c:v>
                </c:pt>
                <c:pt idx="85">
                  <c:v>2151</c:v>
                </c:pt>
                <c:pt idx="86">
                  <c:v>255</c:v>
                </c:pt>
                <c:pt idx="87">
                  <c:v>221</c:v>
                </c:pt>
                <c:pt idx="88">
                  <c:v>243</c:v>
                </c:pt>
                <c:pt idx="89">
                  <c:v>214</c:v>
                </c:pt>
                <c:pt idx="90">
                  <c:v>244</c:v>
                </c:pt>
                <c:pt idx="91">
                  <c:v>243</c:v>
                </c:pt>
                <c:pt idx="92">
                  <c:v>234</c:v>
                </c:pt>
                <c:pt idx="93">
                  <c:v>264</c:v>
                </c:pt>
                <c:pt idx="94">
                  <c:v>246</c:v>
                </c:pt>
                <c:pt idx="95">
                  <c:v>215</c:v>
                </c:pt>
                <c:pt idx="96">
                  <c:v>258</c:v>
                </c:pt>
                <c:pt idx="97">
                  <c:v>244</c:v>
                </c:pt>
                <c:pt idx="98">
                  <c:v>401</c:v>
                </c:pt>
                <c:pt idx="99">
                  <c:v>291</c:v>
                </c:pt>
                <c:pt idx="100">
                  <c:v>284</c:v>
                </c:pt>
                <c:pt idx="101">
                  <c:v>223</c:v>
                </c:pt>
                <c:pt idx="102">
                  <c:v>240</c:v>
                </c:pt>
                <c:pt idx="103">
                  <c:v>2105</c:v>
                </c:pt>
                <c:pt idx="104">
                  <c:v>230</c:v>
                </c:pt>
                <c:pt idx="105">
                  <c:v>214</c:v>
                </c:pt>
                <c:pt idx="106">
                  <c:v>254</c:v>
                </c:pt>
                <c:pt idx="107">
                  <c:v>215</c:v>
                </c:pt>
                <c:pt idx="108">
                  <c:v>278</c:v>
                </c:pt>
                <c:pt idx="109">
                  <c:v>232</c:v>
                </c:pt>
                <c:pt idx="110">
                  <c:v>266</c:v>
                </c:pt>
                <c:pt idx="111">
                  <c:v>227</c:v>
                </c:pt>
                <c:pt idx="112">
                  <c:v>250</c:v>
                </c:pt>
                <c:pt idx="113">
                  <c:v>259</c:v>
                </c:pt>
                <c:pt idx="114">
                  <c:v>282</c:v>
                </c:pt>
                <c:pt idx="115">
                  <c:v>305</c:v>
                </c:pt>
                <c:pt idx="116">
                  <c:v>233</c:v>
                </c:pt>
                <c:pt idx="117">
                  <c:v>1020</c:v>
                </c:pt>
                <c:pt idx="118">
                  <c:v>1320</c:v>
                </c:pt>
                <c:pt idx="119">
                  <c:v>391</c:v>
                </c:pt>
                <c:pt idx="120">
                  <c:v>204</c:v>
                </c:pt>
                <c:pt idx="121">
                  <c:v>244</c:v>
                </c:pt>
                <c:pt idx="122">
                  <c:v>275</c:v>
                </c:pt>
                <c:pt idx="123">
                  <c:v>278</c:v>
                </c:pt>
                <c:pt idx="124">
                  <c:v>309</c:v>
                </c:pt>
                <c:pt idx="125">
                  <c:v>241</c:v>
                </c:pt>
                <c:pt idx="126">
                  <c:v>247</c:v>
                </c:pt>
                <c:pt idx="127">
                  <c:v>256</c:v>
                </c:pt>
                <c:pt idx="128">
                  <c:v>254</c:v>
                </c:pt>
                <c:pt idx="129">
                  <c:v>237</c:v>
                </c:pt>
                <c:pt idx="130">
                  <c:v>245</c:v>
                </c:pt>
                <c:pt idx="131">
                  <c:v>300</c:v>
                </c:pt>
                <c:pt idx="132">
                  <c:v>241</c:v>
                </c:pt>
                <c:pt idx="133">
                  <c:v>240</c:v>
                </c:pt>
                <c:pt idx="134">
                  <c:v>324</c:v>
                </c:pt>
                <c:pt idx="135">
                  <c:v>372</c:v>
                </c:pt>
                <c:pt idx="136">
                  <c:v>224</c:v>
                </c:pt>
                <c:pt idx="137">
                  <c:v>240</c:v>
                </c:pt>
                <c:pt idx="138">
                  <c:v>233</c:v>
                </c:pt>
                <c:pt idx="139">
                  <c:v>266</c:v>
                </c:pt>
                <c:pt idx="140">
                  <c:v>242</c:v>
                </c:pt>
                <c:pt idx="141">
                  <c:v>244</c:v>
                </c:pt>
                <c:pt idx="142">
                  <c:v>241</c:v>
                </c:pt>
                <c:pt idx="143">
                  <c:v>254</c:v>
                </c:pt>
                <c:pt idx="144">
                  <c:v>452</c:v>
                </c:pt>
                <c:pt idx="145">
                  <c:v>261</c:v>
                </c:pt>
                <c:pt idx="146">
                  <c:v>236</c:v>
                </c:pt>
                <c:pt idx="147">
                  <c:v>257</c:v>
                </c:pt>
                <c:pt idx="148">
                  <c:v>252</c:v>
                </c:pt>
                <c:pt idx="149">
                  <c:v>491</c:v>
                </c:pt>
                <c:pt idx="150">
                  <c:v>1864</c:v>
                </c:pt>
                <c:pt idx="151">
                  <c:v>1229</c:v>
                </c:pt>
                <c:pt idx="152">
                  <c:v>218</c:v>
                </c:pt>
                <c:pt idx="153">
                  <c:v>1777</c:v>
                </c:pt>
                <c:pt idx="154">
                  <c:v>263</c:v>
                </c:pt>
                <c:pt idx="155">
                  <c:v>253</c:v>
                </c:pt>
                <c:pt idx="156">
                  <c:v>303</c:v>
                </c:pt>
                <c:pt idx="157">
                  <c:v>256</c:v>
                </c:pt>
                <c:pt idx="158">
                  <c:v>241</c:v>
                </c:pt>
                <c:pt idx="159">
                  <c:v>195</c:v>
                </c:pt>
                <c:pt idx="160">
                  <c:v>373</c:v>
                </c:pt>
                <c:pt idx="161">
                  <c:v>244</c:v>
                </c:pt>
                <c:pt idx="162">
                  <c:v>233</c:v>
                </c:pt>
                <c:pt idx="163">
                  <c:v>211</c:v>
                </c:pt>
                <c:pt idx="164">
                  <c:v>209</c:v>
                </c:pt>
                <c:pt idx="165">
                  <c:v>1989</c:v>
                </c:pt>
                <c:pt idx="166">
                  <c:v>1824</c:v>
                </c:pt>
                <c:pt idx="167">
                  <c:v>1328</c:v>
                </c:pt>
                <c:pt idx="168">
                  <c:v>303</c:v>
                </c:pt>
                <c:pt idx="169">
                  <c:v>235</c:v>
                </c:pt>
                <c:pt idx="170">
                  <c:v>231</c:v>
                </c:pt>
                <c:pt idx="171">
                  <c:v>220</c:v>
                </c:pt>
                <c:pt idx="172">
                  <c:v>225</c:v>
                </c:pt>
                <c:pt idx="173">
                  <c:v>238</c:v>
                </c:pt>
                <c:pt idx="174">
                  <c:v>373</c:v>
                </c:pt>
                <c:pt idx="175">
                  <c:v>221</c:v>
                </c:pt>
                <c:pt idx="176">
                  <c:v>398</c:v>
                </c:pt>
                <c:pt idx="177">
                  <c:v>219</c:v>
                </c:pt>
                <c:pt idx="178">
                  <c:v>230</c:v>
                </c:pt>
                <c:pt idx="179">
                  <c:v>214</c:v>
                </c:pt>
                <c:pt idx="180">
                  <c:v>206</c:v>
                </c:pt>
                <c:pt idx="181">
                  <c:v>1928</c:v>
                </c:pt>
                <c:pt idx="182">
                  <c:v>197</c:v>
                </c:pt>
                <c:pt idx="183">
                  <c:v>282</c:v>
                </c:pt>
                <c:pt idx="184">
                  <c:v>239</c:v>
                </c:pt>
                <c:pt idx="185">
                  <c:v>277</c:v>
                </c:pt>
                <c:pt idx="186">
                  <c:v>266</c:v>
                </c:pt>
                <c:pt idx="187">
                  <c:v>219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DB-344F-B03D-9476F18CB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267775"/>
        <c:axId val="1511711071"/>
      </c:scatterChart>
      <c:valAx>
        <c:axId val="104926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1071"/>
        <c:crosses val="autoZero"/>
        <c:crossBetween val="midCat"/>
      </c:valAx>
      <c:valAx>
        <c:axId val="151171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marker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26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miss!$A$6</c:f>
              <c:strCache>
                <c:ptCount val="1"/>
                <c:pt idx="0">
                  <c:v>missing_count (&lt;10 reads)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yVal>
            <c:numRef>
              <c:f>miss!$B$6:$GG$6</c:f>
              <c:numCache>
                <c:formatCode>General</c:formatCode>
                <c:ptCount val="188"/>
                <c:pt idx="0">
                  <c:v>353</c:v>
                </c:pt>
                <c:pt idx="1">
                  <c:v>312</c:v>
                </c:pt>
                <c:pt idx="2">
                  <c:v>262</c:v>
                </c:pt>
                <c:pt idx="3">
                  <c:v>279</c:v>
                </c:pt>
                <c:pt idx="4">
                  <c:v>310</c:v>
                </c:pt>
                <c:pt idx="5">
                  <c:v>287</c:v>
                </c:pt>
                <c:pt idx="6">
                  <c:v>279</c:v>
                </c:pt>
                <c:pt idx="7">
                  <c:v>295</c:v>
                </c:pt>
                <c:pt idx="8">
                  <c:v>265</c:v>
                </c:pt>
                <c:pt idx="9">
                  <c:v>250</c:v>
                </c:pt>
                <c:pt idx="10">
                  <c:v>250</c:v>
                </c:pt>
                <c:pt idx="11">
                  <c:v>234</c:v>
                </c:pt>
                <c:pt idx="12">
                  <c:v>259</c:v>
                </c:pt>
                <c:pt idx="13">
                  <c:v>256</c:v>
                </c:pt>
                <c:pt idx="14">
                  <c:v>253</c:v>
                </c:pt>
                <c:pt idx="15">
                  <c:v>314</c:v>
                </c:pt>
                <c:pt idx="16">
                  <c:v>264</c:v>
                </c:pt>
                <c:pt idx="17">
                  <c:v>256</c:v>
                </c:pt>
                <c:pt idx="18">
                  <c:v>262</c:v>
                </c:pt>
                <c:pt idx="19">
                  <c:v>272</c:v>
                </c:pt>
                <c:pt idx="20">
                  <c:v>292</c:v>
                </c:pt>
                <c:pt idx="21">
                  <c:v>224</c:v>
                </c:pt>
                <c:pt idx="22">
                  <c:v>250</c:v>
                </c:pt>
                <c:pt idx="23">
                  <c:v>296</c:v>
                </c:pt>
                <c:pt idx="24">
                  <c:v>293</c:v>
                </c:pt>
                <c:pt idx="25">
                  <c:v>252</c:v>
                </c:pt>
                <c:pt idx="26">
                  <c:v>256</c:v>
                </c:pt>
                <c:pt idx="27">
                  <c:v>261</c:v>
                </c:pt>
                <c:pt idx="28">
                  <c:v>244</c:v>
                </c:pt>
                <c:pt idx="29">
                  <c:v>266</c:v>
                </c:pt>
                <c:pt idx="30">
                  <c:v>282</c:v>
                </c:pt>
                <c:pt idx="31">
                  <c:v>297</c:v>
                </c:pt>
                <c:pt idx="32">
                  <c:v>268</c:v>
                </c:pt>
                <c:pt idx="33">
                  <c:v>254</c:v>
                </c:pt>
                <c:pt idx="34">
                  <c:v>265</c:v>
                </c:pt>
                <c:pt idx="35">
                  <c:v>341</c:v>
                </c:pt>
                <c:pt idx="36">
                  <c:v>256</c:v>
                </c:pt>
                <c:pt idx="37">
                  <c:v>258</c:v>
                </c:pt>
                <c:pt idx="38">
                  <c:v>264</c:v>
                </c:pt>
                <c:pt idx="39">
                  <c:v>282</c:v>
                </c:pt>
                <c:pt idx="40">
                  <c:v>270</c:v>
                </c:pt>
                <c:pt idx="41">
                  <c:v>241</c:v>
                </c:pt>
                <c:pt idx="42">
                  <c:v>347</c:v>
                </c:pt>
                <c:pt idx="43">
                  <c:v>345</c:v>
                </c:pt>
                <c:pt idx="44">
                  <c:v>232</c:v>
                </c:pt>
                <c:pt idx="45">
                  <c:v>279</c:v>
                </c:pt>
                <c:pt idx="46">
                  <c:v>252</c:v>
                </c:pt>
                <c:pt idx="47">
                  <c:v>278</c:v>
                </c:pt>
                <c:pt idx="48">
                  <c:v>258</c:v>
                </c:pt>
                <c:pt idx="49">
                  <c:v>245</c:v>
                </c:pt>
                <c:pt idx="50">
                  <c:v>307</c:v>
                </c:pt>
                <c:pt idx="51">
                  <c:v>273</c:v>
                </c:pt>
                <c:pt idx="52">
                  <c:v>251</c:v>
                </c:pt>
                <c:pt idx="53">
                  <c:v>380</c:v>
                </c:pt>
                <c:pt idx="54">
                  <c:v>236</c:v>
                </c:pt>
                <c:pt idx="55">
                  <c:v>304</c:v>
                </c:pt>
                <c:pt idx="56">
                  <c:v>268</c:v>
                </c:pt>
                <c:pt idx="57">
                  <c:v>254</c:v>
                </c:pt>
                <c:pt idx="58">
                  <c:v>270</c:v>
                </c:pt>
                <c:pt idx="59">
                  <c:v>260</c:v>
                </c:pt>
                <c:pt idx="60">
                  <c:v>257</c:v>
                </c:pt>
                <c:pt idx="61">
                  <c:v>265</c:v>
                </c:pt>
                <c:pt idx="62">
                  <c:v>269</c:v>
                </c:pt>
                <c:pt idx="63">
                  <c:v>278</c:v>
                </c:pt>
                <c:pt idx="64">
                  <c:v>292</c:v>
                </c:pt>
                <c:pt idx="65">
                  <c:v>272</c:v>
                </c:pt>
                <c:pt idx="66">
                  <c:v>260</c:v>
                </c:pt>
                <c:pt idx="67">
                  <c:v>297</c:v>
                </c:pt>
                <c:pt idx="68">
                  <c:v>267</c:v>
                </c:pt>
                <c:pt idx="69">
                  <c:v>272</c:v>
                </c:pt>
                <c:pt idx="70">
                  <c:v>253</c:v>
                </c:pt>
                <c:pt idx="71">
                  <c:v>295</c:v>
                </c:pt>
                <c:pt idx="72">
                  <c:v>238</c:v>
                </c:pt>
                <c:pt idx="73">
                  <c:v>275</c:v>
                </c:pt>
                <c:pt idx="74">
                  <c:v>271</c:v>
                </c:pt>
                <c:pt idx="75">
                  <c:v>239</c:v>
                </c:pt>
                <c:pt idx="76">
                  <c:v>277</c:v>
                </c:pt>
                <c:pt idx="77">
                  <c:v>257</c:v>
                </c:pt>
                <c:pt idx="78">
                  <c:v>264</c:v>
                </c:pt>
                <c:pt idx="79">
                  <c:v>284</c:v>
                </c:pt>
                <c:pt idx="80">
                  <c:v>245</c:v>
                </c:pt>
                <c:pt idx="81">
                  <c:v>266</c:v>
                </c:pt>
                <c:pt idx="82">
                  <c:v>256</c:v>
                </c:pt>
                <c:pt idx="83">
                  <c:v>316</c:v>
                </c:pt>
                <c:pt idx="84">
                  <c:v>259</c:v>
                </c:pt>
                <c:pt idx="85">
                  <c:v>289</c:v>
                </c:pt>
                <c:pt idx="86">
                  <c:v>641</c:v>
                </c:pt>
                <c:pt idx="87">
                  <c:v>949</c:v>
                </c:pt>
                <c:pt idx="88">
                  <c:v>274</c:v>
                </c:pt>
                <c:pt idx="89">
                  <c:v>259</c:v>
                </c:pt>
                <c:pt idx="90">
                  <c:v>253</c:v>
                </c:pt>
                <c:pt idx="91">
                  <c:v>288</c:v>
                </c:pt>
                <c:pt idx="92">
                  <c:v>325</c:v>
                </c:pt>
                <c:pt idx="93">
                  <c:v>250</c:v>
                </c:pt>
                <c:pt idx="94">
                  <c:v>276</c:v>
                </c:pt>
                <c:pt idx="95">
                  <c:v>277</c:v>
                </c:pt>
                <c:pt idx="96">
                  <c:v>662</c:v>
                </c:pt>
                <c:pt idx="97">
                  <c:v>264</c:v>
                </c:pt>
                <c:pt idx="98">
                  <c:v>253</c:v>
                </c:pt>
                <c:pt idx="99">
                  <c:v>275</c:v>
                </c:pt>
                <c:pt idx="100">
                  <c:v>269</c:v>
                </c:pt>
                <c:pt idx="101">
                  <c:v>621</c:v>
                </c:pt>
                <c:pt idx="102">
                  <c:v>287</c:v>
                </c:pt>
                <c:pt idx="103">
                  <c:v>540</c:v>
                </c:pt>
                <c:pt idx="104">
                  <c:v>262</c:v>
                </c:pt>
                <c:pt idx="105">
                  <c:v>257</c:v>
                </c:pt>
                <c:pt idx="106">
                  <c:v>361</c:v>
                </c:pt>
                <c:pt idx="107">
                  <c:v>241</c:v>
                </c:pt>
                <c:pt idx="108">
                  <c:v>257</c:v>
                </c:pt>
                <c:pt idx="109">
                  <c:v>337</c:v>
                </c:pt>
                <c:pt idx="110">
                  <c:v>329</c:v>
                </c:pt>
                <c:pt idx="111">
                  <c:v>270</c:v>
                </c:pt>
                <c:pt idx="112">
                  <c:v>235</c:v>
                </c:pt>
                <c:pt idx="113">
                  <c:v>288</c:v>
                </c:pt>
                <c:pt idx="114">
                  <c:v>281</c:v>
                </c:pt>
                <c:pt idx="115">
                  <c:v>293</c:v>
                </c:pt>
                <c:pt idx="116">
                  <c:v>249</c:v>
                </c:pt>
                <c:pt idx="117">
                  <c:v>567</c:v>
                </c:pt>
                <c:pt idx="118">
                  <c:v>268</c:v>
                </c:pt>
                <c:pt idx="119">
                  <c:v>1116</c:v>
                </c:pt>
                <c:pt idx="120">
                  <c:v>250</c:v>
                </c:pt>
                <c:pt idx="121">
                  <c:v>275</c:v>
                </c:pt>
                <c:pt idx="122">
                  <c:v>286</c:v>
                </c:pt>
                <c:pt idx="123">
                  <c:v>300</c:v>
                </c:pt>
                <c:pt idx="124">
                  <c:v>351</c:v>
                </c:pt>
                <c:pt idx="125">
                  <c:v>258</c:v>
                </c:pt>
                <c:pt idx="126">
                  <c:v>319</c:v>
                </c:pt>
                <c:pt idx="127">
                  <c:v>284</c:v>
                </c:pt>
                <c:pt idx="128">
                  <c:v>292</c:v>
                </c:pt>
                <c:pt idx="129">
                  <c:v>254</c:v>
                </c:pt>
                <c:pt idx="130">
                  <c:v>266</c:v>
                </c:pt>
                <c:pt idx="131">
                  <c:v>292</c:v>
                </c:pt>
                <c:pt idx="132">
                  <c:v>257</c:v>
                </c:pt>
                <c:pt idx="133">
                  <c:v>326</c:v>
                </c:pt>
                <c:pt idx="134">
                  <c:v>305</c:v>
                </c:pt>
                <c:pt idx="135">
                  <c:v>289</c:v>
                </c:pt>
                <c:pt idx="136">
                  <c:v>430</c:v>
                </c:pt>
                <c:pt idx="137">
                  <c:v>272</c:v>
                </c:pt>
                <c:pt idx="138">
                  <c:v>292</c:v>
                </c:pt>
                <c:pt idx="139">
                  <c:v>281</c:v>
                </c:pt>
                <c:pt idx="140">
                  <c:v>265</c:v>
                </c:pt>
                <c:pt idx="141">
                  <c:v>312</c:v>
                </c:pt>
                <c:pt idx="142">
                  <c:v>299</c:v>
                </c:pt>
                <c:pt idx="143">
                  <c:v>318</c:v>
                </c:pt>
                <c:pt idx="144">
                  <c:v>320</c:v>
                </c:pt>
                <c:pt idx="145">
                  <c:v>263</c:v>
                </c:pt>
                <c:pt idx="146">
                  <c:v>252</c:v>
                </c:pt>
                <c:pt idx="147">
                  <c:v>309</c:v>
                </c:pt>
                <c:pt idx="148">
                  <c:v>303</c:v>
                </c:pt>
                <c:pt idx="149">
                  <c:v>272</c:v>
                </c:pt>
                <c:pt idx="150">
                  <c:v>815</c:v>
                </c:pt>
                <c:pt idx="151">
                  <c:v>294</c:v>
                </c:pt>
                <c:pt idx="152">
                  <c:v>280</c:v>
                </c:pt>
                <c:pt idx="153">
                  <c:v>258</c:v>
                </c:pt>
                <c:pt idx="154">
                  <c:v>266</c:v>
                </c:pt>
                <c:pt idx="155">
                  <c:v>267</c:v>
                </c:pt>
                <c:pt idx="156">
                  <c:v>306</c:v>
                </c:pt>
                <c:pt idx="157">
                  <c:v>271</c:v>
                </c:pt>
                <c:pt idx="158">
                  <c:v>259</c:v>
                </c:pt>
                <c:pt idx="159">
                  <c:v>274</c:v>
                </c:pt>
                <c:pt idx="160">
                  <c:v>268</c:v>
                </c:pt>
                <c:pt idx="161">
                  <c:v>267</c:v>
                </c:pt>
                <c:pt idx="162">
                  <c:v>297</c:v>
                </c:pt>
                <c:pt idx="163">
                  <c:v>294</c:v>
                </c:pt>
                <c:pt idx="164">
                  <c:v>317</c:v>
                </c:pt>
                <c:pt idx="165">
                  <c:v>263</c:v>
                </c:pt>
                <c:pt idx="166">
                  <c:v>278</c:v>
                </c:pt>
                <c:pt idx="167">
                  <c:v>272</c:v>
                </c:pt>
                <c:pt idx="168">
                  <c:v>324</c:v>
                </c:pt>
                <c:pt idx="169">
                  <c:v>250</c:v>
                </c:pt>
                <c:pt idx="170">
                  <c:v>261</c:v>
                </c:pt>
                <c:pt idx="171">
                  <c:v>269</c:v>
                </c:pt>
                <c:pt idx="172">
                  <c:v>241</c:v>
                </c:pt>
                <c:pt idx="173">
                  <c:v>254</c:v>
                </c:pt>
                <c:pt idx="174">
                  <c:v>323</c:v>
                </c:pt>
                <c:pt idx="175">
                  <c:v>306</c:v>
                </c:pt>
                <c:pt idx="176">
                  <c:v>268</c:v>
                </c:pt>
                <c:pt idx="177">
                  <c:v>253</c:v>
                </c:pt>
                <c:pt idx="178">
                  <c:v>289</c:v>
                </c:pt>
                <c:pt idx="179">
                  <c:v>281</c:v>
                </c:pt>
                <c:pt idx="180">
                  <c:v>259</c:v>
                </c:pt>
                <c:pt idx="181">
                  <c:v>272</c:v>
                </c:pt>
                <c:pt idx="182">
                  <c:v>290</c:v>
                </c:pt>
                <c:pt idx="183">
                  <c:v>275</c:v>
                </c:pt>
                <c:pt idx="184">
                  <c:v>255</c:v>
                </c:pt>
                <c:pt idx="185">
                  <c:v>283</c:v>
                </c:pt>
                <c:pt idx="186">
                  <c:v>288</c:v>
                </c:pt>
                <c:pt idx="187">
                  <c:v>269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40-FA47-8535-23C068C87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9267775"/>
        <c:axId val="1511711071"/>
      </c:scatterChart>
      <c:valAx>
        <c:axId val="1049267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711071"/>
        <c:crosses val="autoZero"/>
        <c:crossBetween val="midCat"/>
      </c:valAx>
      <c:valAx>
        <c:axId val="151171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marker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267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292100</xdr:colOff>
      <xdr:row>3</xdr:row>
      <xdr:rowOff>0</xdr:rowOff>
    </xdr:from>
    <xdr:to>
      <xdr:col>9</xdr:col>
      <xdr:colOff>635000</xdr:colOff>
      <xdr:row>15</xdr:row>
      <xdr:rowOff>66498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547E10-EB4E-9566-2F7F-FF1BDCC83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609600"/>
          <a:ext cx="7772400" cy="25048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44450</xdr:rowOff>
    </xdr:from>
    <xdr:to>
      <xdr:col>6</xdr:col>
      <xdr:colOff>31750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92D476-9862-A91D-917F-9F4A9880C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9</xdr:row>
      <xdr:rowOff>0</xdr:rowOff>
    </xdr:from>
    <xdr:to>
      <xdr:col>13</xdr:col>
      <xdr:colOff>31750</xdr:colOff>
      <xdr:row>23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B76169-94C7-A648-B0BF-3EEE68F4C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H41" sqref="H41"/>
    </sheetView>
  </sheetViews>
  <sheetFormatPr baseColWidth="10" defaultRowHeight="16" x14ac:dyDescent="0.2"/>
  <sheetData>
    <row r="1" spans="1:2" x14ac:dyDescent="0.2">
      <c r="A1">
        <v>20230929</v>
      </c>
      <c r="B1" t="s">
        <v>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selection activeCell="B34" sqref="B34"/>
    </sheetView>
  </sheetViews>
  <sheetFormatPr baseColWidth="10" defaultRowHeight="16" x14ac:dyDescent="0.2"/>
  <cols>
    <col min="1" max="1" width="22.5" bestFit="1" customWidth="1"/>
    <col min="2" max="2" width="31.83203125" bestFit="1" customWidth="1"/>
    <col min="3" max="3" width="35.83203125" bestFit="1" customWidth="1"/>
    <col min="5" max="5" width="22.5" bestFit="1" customWidth="1"/>
    <col min="6" max="6" width="31.83203125" bestFit="1" customWidth="1"/>
    <col min="7" max="7" width="35.83203125" bestFit="1" customWidth="1"/>
  </cols>
  <sheetData>
    <row r="1" spans="1:7" s="3" customFormat="1" x14ac:dyDescent="0.2">
      <c r="A1" s="2" t="s">
        <v>34</v>
      </c>
      <c r="B1" s="2" t="s">
        <v>35</v>
      </c>
      <c r="C1" s="2" t="s">
        <v>36</v>
      </c>
      <c r="E1" s="2" t="s">
        <v>34</v>
      </c>
      <c r="F1" s="2" t="s">
        <v>35</v>
      </c>
      <c r="G1" s="2" t="s">
        <v>36</v>
      </c>
    </row>
    <row r="2" spans="1:7" x14ac:dyDescent="0.2">
      <c r="A2" t="s">
        <v>1</v>
      </c>
      <c r="B2" t="str">
        <f t="shared" ref="B2:B30" si="0">LEFT(C2,LEN(C2)-4)</f>
        <v>VaccDscaff11_000263165|Ref</v>
      </c>
      <c r="C2" t="s">
        <v>0</v>
      </c>
      <c r="E2" t="s">
        <v>1</v>
      </c>
      <c r="F2" t="str">
        <f t="shared" ref="F2:F9" si="1">LEFT(G2,LEN(G2)-4)</f>
        <v>VaccDscaff11_000263165|Ref</v>
      </c>
      <c r="G2" t="s">
        <v>0</v>
      </c>
    </row>
    <row r="3" spans="1:7" x14ac:dyDescent="0.2">
      <c r="A3" t="s">
        <v>1</v>
      </c>
      <c r="B3" t="str">
        <f t="shared" si="0"/>
        <v>VaccDscaff11_000263165|Alt</v>
      </c>
      <c r="C3" t="s">
        <v>2</v>
      </c>
      <c r="E3" t="s">
        <v>1</v>
      </c>
      <c r="F3" t="str">
        <f t="shared" si="1"/>
        <v>VaccDscaff11_000263165|Alt</v>
      </c>
      <c r="G3" t="s">
        <v>2</v>
      </c>
    </row>
    <row r="4" spans="1:7" x14ac:dyDescent="0.2">
      <c r="A4" t="s">
        <v>1</v>
      </c>
      <c r="B4" t="str">
        <f t="shared" si="0"/>
        <v>VaccDscaff11_000263165|RefMatch</v>
      </c>
      <c r="C4" t="s">
        <v>37</v>
      </c>
      <c r="E4" t="s">
        <v>1</v>
      </c>
      <c r="F4" t="str">
        <f t="shared" si="1"/>
        <v>VaccDscaff11_000263165|RefMatch</v>
      </c>
      <c r="G4" t="s">
        <v>37</v>
      </c>
    </row>
    <row r="5" spans="1:7" x14ac:dyDescent="0.2">
      <c r="A5" t="s">
        <v>1</v>
      </c>
      <c r="B5" t="str">
        <f t="shared" si="0"/>
        <v>VaccDscaff11_000263165|RefMatch</v>
      </c>
      <c r="C5" t="s">
        <v>38</v>
      </c>
      <c r="E5" t="s">
        <v>1</v>
      </c>
      <c r="F5" t="str">
        <f t="shared" si="1"/>
        <v>VaccDscaff11_000263165|RefMatch</v>
      </c>
      <c r="G5" t="s">
        <v>38</v>
      </c>
    </row>
    <row r="6" spans="1:7" x14ac:dyDescent="0.2">
      <c r="A6" t="s">
        <v>1</v>
      </c>
      <c r="B6" t="str">
        <f t="shared" si="0"/>
        <v>VaccDscaff11_000263165|RefMatch</v>
      </c>
      <c r="C6" t="s">
        <v>3</v>
      </c>
      <c r="E6" t="s">
        <v>1</v>
      </c>
      <c r="F6" t="str">
        <f t="shared" si="1"/>
        <v>VaccDscaff11_000263165|RefMatch</v>
      </c>
      <c r="G6" t="s">
        <v>3</v>
      </c>
    </row>
    <row r="7" spans="1:7" x14ac:dyDescent="0.2">
      <c r="A7" t="s">
        <v>1</v>
      </c>
      <c r="B7" t="str">
        <f t="shared" si="0"/>
        <v>VaccDscaff11_000263165|RefMatch</v>
      </c>
      <c r="C7" t="s">
        <v>4</v>
      </c>
      <c r="E7" t="s">
        <v>1</v>
      </c>
      <c r="F7" t="str">
        <f t="shared" si="1"/>
        <v>VaccDscaff11_000263165|RefMatch</v>
      </c>
      <c r="G7" t="s">
        <v>4</v>
      </c>
    </row>
    <row r="8" spans="1:7" x14ac:dyDescent="0.2">
      <c r="A8" t="s">
        <v>1</v>
      </c>
      <c r="B8" t="str">
        <f t="shared" si="0"/>
        <v>VaccDscaff11_000263165|RefMatch</v>
      </c>
      <c r="C8" t="s">
        <v>5</v>
      </c>
      <c r="E8" t="s">
        <v>1</v>
      </c>
      <c r="F8" t="str">
        <f t="shared" si="1"/>
        <v>VaccDscaff11_000263165|RefMatch</v>
      </c>
      <c r="G8" t="s">
        <v>5</v>
      </c>
    </row>
    <row r="9" spans="1:7" x14ac:dyDescent="0.2">
      <c r="A9" t="s">
        <v>1</v>
      </c>
      <c r="B9" t="str">
        <f t="shared" si="0"/>
        <v>VaccDscaff11_000263165|RefMatch</v>
      </c>
      <c r="C9" t="s">
        <v>6</v>
      </c>
      <c r="E9" t="s">
        <v>1</v>
      </c>
      <c r="F9" t="str">
        <f t="shared" si="1"/>
        <v>VaccDscaff11_000263165|RefMatch</v>
      </c>
      <c r="G9" t="s">
        <v>6</v>
      </c>
    </row>
    <row r="10" spans="1:7" x14ac:dyDescent="0.2">
      <c r="A10" s="1" t="s">
        <v>1</v>
      </c>
      <c r="B10" s="1" t="str">
        <f t="shared" si="0"/>
        <v>VaccDscaff11_000263165|AltMatch</v>
      </c>
      <c r="C10" s="1" t="s">
        <v>39</v>
      </c>
      <c r="E10" s="4" t="s">
        <v>1</v>
      </c>
      <c r="F10" s="4" t="str">
        <f t="shared" ref="F10:F13" si="2">LEFT(G10,LEN(G10)-4)</f>
        <v>VaccDscaff11_000263165|RefMatch</v>
      </c>
      <c r="G10" s="4" t="s">
        <v>7</v>
      </c>
    </row>
    <row r="11" spans="1:7" x14ac:dyDescent="0.2">
      <c r="A11" t="s">
        <v>10</v>
      </c>
      <c r="B11" t="str">
        <f t="shared" si="0"/>
        <v>VaccDscaff11_000480009|Ref</v>
      </c>
      <c r="C11" t="s">
        <v>9</v>
      </c>
      <c r="E11" s="4" t="s">
        <v>1</v>
      </c>
      <c r="F11" s="4" t="str">
        <f t="shared" si="2"/>
        <v>VaccDscaff11_000263165|RefMatch</v>
      </c>
      <c r="G11" s="4" t="s">
        <v>8</v>
      </c>
    </row>
    <row r="12" spans="1:7" x14ac:dyDescent="0.2">
      <c r="A12" t="s">
        <v>10</v>
      </c>
      <c r="B12" t="str">
        <f t="shared" si="0"/>
        <v>VaccDscaff11_000480009|Alt</v>
      </c>
      <c r="C12" t="s">
        <v>11</v>
      </c>
      <c r="E12" s="4" t="s">
        <v>1</v>
      </c>
      <c r="F12" s="4" t="str">
        <f t="shared" si="2"/>
        <v>VaccDscaff11_000263165|RefMatch</v>
      </c>
      <c r="G12" s="4" t="s">
        <v>40</v>
      </c>
    </row>
    <row r="13" spans="1:7" x14ac:dyDescent="0.2">
      <c r="A13" t="s">
        <v>10</v>
      </c>
      <c r="B13" t="str">
        <f t="shared" si="0"/>
        <v>VaccDscaff11_000480009|RefMatch</v>
      </c>
      <c r="C13" t="s">
        <v>12</v>
      </c>
      <c r="E13" s="4" t="s">
        <v>1</v>
      </c>
      <c r="F13" s="4" t="str">
        <f t="shared" si="2"/>
        <v>VaccDscaff11_000263165|RefMatch</v>
      </c>
      <c r="G13" s="4" t="s">
        <v>41</v>
      </c>
    </row>
    <row r="14" spans="1:7" x14ac:dyDescent="0.2">
      <c r="A14" t="s">
        <v>10</v>
      </c>
      <c r="B14" t="str">
        <f t="shared" si="0"/>
        <v>VaccDscaff11_000480009|Other</v>
      </c>
      <c r="C14" t="s">
        <v>13</v>
      </c>
      <c r="E14" t="s">
        <v>1</v>
      </c>
      <c r="F14" t="str">
        <f>LEFT(G14,LEN(G14)-4)</f>
        <v>VaccDscaff11_000263165|AltMatch</v>
      </c>
      <c r="G14" t="s">
        <v>39</v>
      </c>
    </row>
    <row r="15" spans="1:7" x14ac:dyDescent="0.2">
      <c r="A15" t="s">
        <v>15</v>
      </c>
      <c r="B15" t="str">
        <f t="shared" si="0"/>
        <v>VaccDscaff11_000762596|Ref</v>
      </c>
      <c r="C15" t="s">
        <v>14</v>
      </c>
      <c r="E15" s="4" t="s">
        <v>1</v>
      </c>
      <c r="F15" s="4" t="str">
        <f t="shared" ref="F15:F17" si="3">LEFT(G15,LEN(G15)-4)</f>
        <v>VaccDscaff11_000263165|AltMatch</v>
      </c>
      <c r="G15" s="4" t="s">
        <v>42</v>
      </c>
    </row>
    <row r="16" spans="1:7" x14ac:dyDescent="0.2">
      <c r="A16" t="s">
        <v>15</v>
      </c>
      <c r="B16" t="str">
        <f t="shared" si="0"/>
        <v>VaccDscaff11_000762596|Alt</v>
      </c>
      <c r="C16" t="s">
        <v>16</v>
      </c>
      <c r="E16" s="4" t="s">
        <v>1</v>
      </c>
      <c r="F16" s="4" t="str">
        <f t="shared" si="3"/>
        <v>VaccDscaff11_000263165|AltMatch</v>
      </c>
      <c r="G16" s="4" t="s">
        <v>43</v>
      </c>
    </row>
    <row r="17" spans="1:7" x14ac:dyDescent="0.2">
      <c r="A17" t="s">
        <v>18</v>
      </c>
      <c r="B17" t="str">
        <f t="shared" si="0"/>
        <v>VaccDscaff11_000969118|Ref</v>
      </c>
      <c r="C17" t="s">
        <v>17</v>
      </c>
      <c r="E17" s="5" t="s">
        <v>1</v>
      </c>
      <c r="F17" s="5" t="str">
        <f t="shared" si="3"/>
        <v>VaccDscaff11_000263165|AltMatch</v>
      </c>
      <c r="G17" s="5" t="s">
        <v>44</v>
      </c>
    </row>
    <row r="18" spans="1:7" x14ac:dyDescent="0.2">
      <c r="A18" t="s">
        <v>18</v>
      </c>
      <c r="B18" t="str">
        <f t="shared" si="0"/>
        <v>VaccDscaff11_000969118|Alt</v>
      </c>
      <c r="C18" t="s">
        <v>19</v>
      </c>
    </row>
    <row r="19" spans="1:7" x14ac:dyDescent="0.2">
      <c r="A19" t="s">
        <v>18</v>
      </c>
      <c r="B19" t="str">
        <f t="shared" si="0"/>
        <v>VaccDscaff11_000969118|RefMatch</v>
      </c>
      <c r="C19" t="s">
        <v>20</v>
      </c>
    </row>
    <row r="20" spans="1:7" x14ac:dyDescent="0.2">
      <c r="A20" t="s">
        <v>18</v>
      </c>
      <c r="B20" t="str">
        <f t="shared" si="0"/>
        <v>VaccDscaff11_000969118|RefMatch</v>
      </c>
      <c r="C20" t="s">
        <v>21</v>
      </c>
    </row>
    <row r="21" spans="1:7" x14ac:dyDescent="0.2">
      <c r="A21" t="s">
        <v>18</v>
      </c>
      <c r="B21" t="str">
        <f t="shared" si="0"/>
        <v>VaccDscaff11_000969118|RefMatch</v>
      </c>
      <c r="C21" t="s">
        <v>22</v>
      </c>
    </row>
    <row r="22" spans="1:7" x14ac:dyDescent="0.2">
      <c r="A22" t="s">
        <v>24</v>
      </c>
      <c r="B22" t="str">
        <f t="shared" si="0"/>
        <v>VaccDscaff11_001205555|Ref</v>
      </c>
      <c r="C22" t="s">
        <v>23</v>
      </c>
    </row>
    <row r="23" spans="1:7" x14ac:dyDescent="0.2">
      <c r="A23" t="s">
        <v>24</v>
      </c>
      <c r="B23" t="str">
        <f t="shared" si="0"/>
        <v>VaccDscaff11_001205555|Alt</v>
      </c>
      <c r="C23" t="s">
        <v>25</v>
      </c>
    </row>
    <row r="24" spans="1:7" x14ac:dyDescent="0.2">
      <c r="A24" t="s">
        <v>27</v>
      </c>
      <c r="B24" t="str">
        <f t="shared" si="0"/>
        <v>VaccDscaff11_001337505|Ref</v>
      </c>
      <c r="C24" t="s">
        <v>26</v>
      </c>
    </row>
    <row r="25" spans="1:7" x14ac:dyDescent="0.2">
      <c r="A25" t="s">
        <v>27</v>
      </c>
      <c r="B25" t="str">
        <f t="shared" si="0"/>
        <v>VaccDscaff11_001337505|Alt</v>
      </c>
      <c r="C25" t="s">
        <v>28</v>
      </c>
    </row>
    <row r="26" spans="1:7" x14ac:dyDescent="0.2">
      <c r="A26" t="s">
        <v>27</v>
      </c>
      <c r="B26" t="str">
        <f t="shared" si="0"/>
        <v>VaccDscaff11_001337505|RefMatch</v>
      </c>
      <c r="C26" t="s">
        <v>29</v>
      </c>
    </row>
    <row r="27" spans="1:7" x14ac:dyDescent="0.2">
      <c r="A27" t="s">
        <v>27</v>
      </c>
      <c r="B27" t="str">
        <f t="shared" si="0"/>
        <v>VaccDscaff11_001337505|RefMatch</v>
      </c>
      <c r="C27" t="s">
        <v>30</v>
      </c>
    </row>
    <row r="28" spans="1:7" x14ac:dyDescent="0.2">
      <c r="A28" t="s">
        <v>27</v>
      </c>
      <c r="B28" t="str">
        <f t="shared" si="0"/>
        <v>VaccDscaff11_001337505|RefMatch</v>
      </c>
      <c r="C28" t="s">
        <v>31</v>
      </c>
    </row>
    <row r="29" spans="1:7" x14ac:dyDescent="0.2">
      <c r="A29" t="s">
        <v>27</v>
      </c>
      <c r="B29" t="str">
        <f t="shared" si="0"/>
        <v>VaccDscaff11_001337505|RefMatch</v>
      </c>
      <c r="C29" t="s">
        <v>32</v>
      </c>
    </row>
    <row r="30" spans="1:7" x14ac:dyDescent="0.2">
      <c r="A30" t="s">
        <v>27</v>
      </c>
      <c r="B30" t="str">
        <f t="shared" si="0"/>
        <v>VaccDscaff11_001337505|AltMatch</v>
      </c>
      <c r="C30" t="s">
        <v>33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C8D4F-8866-8B4F-9AB0-4798D37528B9}">
  <dimension ref="A1:D8"/>
  <sheetViews>
    <sheetView workbookViewId="0">
      <selection activeCell="E22" sqref="E22"/>
    </sheetView>
  </sheetViews>
  <sheetFormatPr baseColWidth="10" defaultRowHeight="16" x14ac:dyDescent="0.2"/>
  <sheetData>
    <row r="1" spans="1:4" x14ac:dyDescent="0.2">
      <c r="A1" t="s">
        <v>49</v>
      </c>
      <c r="B1">
        <v>82459472</v>
      </c>
      <c r="D1" t="str">
        <f t="shared" ref="D1:D8" si="0">_xlfn.CONCAT("##contig=&lt;ID=",A1,",length=",B1,"&gt;")</f>
        <v>##contig=&lt;ID=chr1.1,length=82459472&gt;</v>
      </c>
    </row>
    <row r="2" spans="1:4" x14ac:dyDescent="0.2">
      <c r="A2" t="s">
        <v>50</v>
      </c>
      <c r="B2">
        <v>76462061</v>
      </c>
      <c r="D2" t="str">
        <f t="shared" si="0"/>
        <v>##contig=&lt;ID=chr2.1,length=76462061&gt;</v>
      </c>
    </row>
    <row r="3" spans="1:4" x14ac:dyDescent="0.2">
      <c r="A3" t="s">
        <v>51</v>
      </c>
      <c r="B3">
        <v>93149498</v>
      </c>
      <c r="D3" t="str">
        <f t="shared" si="0"/>
        <v>##contig=&lt;ID=chr3.1,length=93149498&gt;</v>
      </c>
    </row>
    <row r="4" spans="1:4" x14ac:dyDescent="0.2">
      <c r="A4" t="s">
        <v>52</v>
      </c>
      <c r="B4">
        <v>90245664</v>
      </c>
      <c r="D4" t="str">
        <f t="shared" si="0"/>
        <v>##contig=&lt;ID=chr4.1,length=90245664&gt;</v>
      </c>
    </row>
    <row r="5" spans="1:4" x14ac:dyDescent="0.2">
      <c r="A5" t="s">
        <v>53</v>
      </c>
      <c r="B5">
        <v>81211777</v>
      </c>
      <c r="D5" t="str">
        <f t="shared" si="0"/>
        <v>##contig=&lt;ID=chr5.1,length=81211777&gt;</v>
      </c>
    </row>
    <row r="6" spans="1:4" x14ac:dyDescent="0.2">
      <c r="A6" t="s">
        <v>54</v>
      </c>
      <c r="B6">
        <v>80303593</v>
      </c>
      <c r="D6" t="str">
        <f t="shared" si="0"/>
        <v>##contig=&lt;ID=chr6.1,length=80303593&gt;</v>
      </c>
    </row>
    <row r="7" spans="1:4" x14ac:dyDescent="0.2">
      <c r="A7" t="s">
        <v>55</v>
      </c>
      <c r="B7">
        <v>88407277</v>
      </c>
      <c r="D7" t="str">
        <f t="shared" si="0"/>
        <v>##contig=&lt;ID=chr7.1,length=88407277&gt;</v>
      </c>
    </row>
    <row r="8" spans="1:4" x14ac:dyDescent="0.2">
      <c r="A8" t="s">
        <v>56</v>
      </c>
      <c r="B8">
        <v>87242343</v>
      </c>
      <c r="D8" t="str">
        <f t="shared" si="0"/>
        <v>##contig=&lt;ID=chr8.1,length=87242343&gt;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07949-AEAE-4149-9010-499799885423}">
  <dimension ref="A1:GG7"/>
  <sheetViews>
    <sheetView workbookViewId="0">
      <selection activeCell="H10" sqref="H10"/>
    </sheetView>
  </sheetViews>
  <sheetFormatPr baseColWidth="10" defaultRowHeight="16" x14ac:dyDescent="0.2"/>
  <sheetData>
    <row r="1" spans="1:189" x14ac:dyDescent="0.2">
      <c r="A1" t="s">
        <v>48</v>
      </c>
    </row>
    <row r="2" spans="1:189" x14ac:dyDescent="0.2">
      <c r="A2" t="s">
        <v>46</v>
      </c>
      <c r="B2">
        <v>203</v>
      </c>
      <c r="C2">
        <v>378</v>
      </c>
      <c r="D2">
        <v>212</v>
      </c>
      <c r="E2">
        <v>299</v>
      </c>
      <c r="F2">
        <v>279</v>
      </c>
      <c r="G2">
        <v>232</v>
      </c>
      <c r="H2">
        <v>294</v>
      </c>
      <c r="I2">
        <v>243</v>
      </c>
      <c r="J2">
        <v>247</v>
      </c>
      <c r="K2">
        <v>2837</v>
      </c>
      <c r="L2">
        <v>247</v>
      </c>
      <c r="M2">
        <v>288</v>
      </c>
      <c r="N2">
        <v>225</v>
      </c>
      <c r="O2">
        <v>258</v>
      </c>
      <c r="P2">
        <v>213</v>
      </c>
      <c r="Q2">
        <v>224</v>
      </c>
      <c r="R2">
        <v>232</v>
      </c>
      <c r="S2">
        <v>406</v>
      </c>
      <c r="T2">
        <v>220</v>
      </c>
      <c r="U2">
        <v>252</v>
      </c>
      <c r="V2">
        <v>199</v>
      </c>
      <c r="W2">
        <v>272</v>
      </c>
      <c r="X2">
        <v>1913</v>
      </c>
      <c r="Y2">
        <v>1209</v>
      </c>
      <c r="Z2">
        <v>228</v>
      </c>
      <c r="AA2">
        <v>317</v>
      </c>
      <c r="AB2">
        <v>227</v>
      </c>
      <c r="AC2">
        <v>231</v>
      </c>
      <c r="AD2">
        <v>230</v>
      </c>
      <c r="AE2">
        <v>247</v>
      </c>
      <c r="AF2">
        <v>234</v>
      </c>
      <c r="AG2">
        <v>257</v>
      </c>
      <c r="AH2">
        <v>216</v>
      </c>
      <c r="AI2">
        <v>429</v>
      </c>
      <c r="AJ2">
        <v>255</v>
      </c>
      <c r="AK2">
        <v>252</v>
      </c>
      <c r="AL2">
        <v>284</v>
      </c>
      <c r="AM2">
        <v>205</v>
      </c>
      <c r="AN2">
        <v>2011</v>
      </c>
      <c r="AO2">
        <v>1911</v>
      </c>
      <c r="AP2">
        <v>284</v>
      </c>
      <c r="AQ2">
        <v>267</v>
      </c>
      <c r="AR2">
        <v>350</v>
      </c>
      <c r="AS2">
        <v>326</v>
      </c>
      <c r="AT2">
        <v>243</v>
      </c>
      <c r="AU2">
        <v>258</v>
      </c>
      <c r="AV2">
        <v>255</v>
      </c>
      <c r="AW2">
        <v>312</v>
      </c>
      <c r="AX2">
        <v>256</v>
      </c>
      <c r="AY2">
        <v>226</v>
      </c>
      <c r="AZ2">
        <v>253</v>
      </c>
      <c r="BA2">
        <v>273</v>
      </c>
      <c r="BB2">
        <v>304</v>
      </c>
      <c r="BC2">
        <v>310</v>
      </c>
      <c r="BD2">
        <v>245</v>
      </c>
      <c r="BE2">
        <v>340</v>
      </c>
      <c r="BF2">
        <v>243</v>
      </c>
      <c r="BG2">
        <v>263</v>
      </c>
      <c r="BH2">
        <v>355</v>
      </c>
      <c r="BI2">
        <v>249</v>
      </c>
      <c r="BJ2">
        <v>236</v>
      </c>
      <c r="BK2">
        <v>258</v>
      </c>
      <c r="BL2">
        <v>243</v>
      </c>
      <c r="BM2">
        <v>235</v>
      </c>
      <c r="BN2">
        <v>270</v>
      </c>
      <c r="BO2">
        <v>248</v>
      </c>
      <c r="BP2">
        <v>226</v>
      </c>
      <c r="BQ2">
        <v>320</v>
      </c>
      <c r="BR2">
        <v>231</v>
      </c>
      <c r="BS2">
        <v>2048</v>
      </c>
      <c r="BT2">
        <v>1563</v>
      </c>
      <c r="BU2">
        <v>2023</v>
      </c>
      <c r="BV2">
        <v>225</v>
      </c>
      <c r="BW2">
        <v>263</v>
      </c>
      <c r="BX2">
        <v>230</v>
      </c>
      <c r="BY2">
        <v>232</v>
      </c>
      <c r="BZ2">
        <v>237</v>
      </c>
      <c r="CA2">
        <v>249</v>
      </c>
      <c r="CB2">
        <v>247</v>
      </c>
      <c r="CC2">
        <v>218</v>
      </c>
      <c r="CD2">
        <v>256</v>
      </c>
      <c r="CE2">
        <v>300</v>
      </c>
      <c r="CF2">
        <v>289</v>
      </c>
      <c r="CG2">
        <v>301</v>
      </c>
      <c r="CH2">
        <v>200</v>
      </c>
      <c r="CI2">
        <v>2151</v>
      </c>
      <c r="CJ2">
        <v>255</v>
      </c>
      <c r="CK2">
        <v>221</v>
      </c>
      <c r="CL2">
        <v>243</v>
      </c>
      <c r="CM2">
        <v>214</v>
      </c>
      <c r="CN2">
        <v>244</v>
      </c>
      <c r="CO2">
        <v>243</v>
      </c>
      <c r="CP2">
        <v>234</v>
      </c>
      <c r="CQ2">
        <v>264</v>
      </c>
      <c r="CR2">
        <v>246</v>
      </c>
      <c r="CS2">
        <v>215</v>
      </c>
      <c r="CT2">
        <v>258</v>
      </c>
      <c r="CU2">
        <v>244</v>
      </c>
      <c r="CV2">
        <v>401</v>
      </c>
      <c r="CW2">
        <v>291</v>
      </c>
      <c r="CX2">
        <v>284</v>
      </c>
      <c r="CY2">
        <v>223</v>
      </c>
      <c r="CZ2">
        <v>240</v>
      </c>
      <c r="DA2">
        <v>2105</v>
      </c>
      <c r="DB2">
        <v>230</v>
      </c>
      <c r="DC2">
        <v>214</v>
      </c>
      <c r="DD2">
        <v>254</v>
      </c>
      <c r="DE2">
        <v>215</v>
      </c>
      <c r="DF2">
        <v>278</v>
      </c>
      <c r="DG2">
        <v>232</v>
      </c>
      <c r="DH2">
        <v>266</v>
      </c>
      <c r="DI2">
        <v>227</v>
      </c>
      <c r="DJ2">
        <v>250</v>
      </c>
      <c r="DK2">
        <v>259</v>
      </c>
      <c r="DL2">
        <v>282</v>
      </c>
      <c r="DM2">
        <v>305</v>
      </c>
      <c r="DN2">
        <v>233</v>
      </c>
      <c r="DO2">
        <v>1020</v>
      </c>
      <c r="DP2">
        <v>1320</v>
      </c>
      <c r="DQ2">
        <v>391</v>
      </c>
      <c r="DR2">
        <v>204</v>
      </c>
      <c r="DS2">
        <v>244</v>
      </c>
      <c r="DT2">
        <v>275</v>
      </c>
      <c r="DU2">
        <v>278</v>
      </c>
      <c r="DV2">
        <v>309</v>
      </c>
      <c r="DW2">
        <v>241</v>
      </c>
      <c r="DX2">
        <v>247</v>
      </c>
      <c r="DY2">
        <v>256</v>
      </c>
      <c r="DZ2">
        <v>254</v>
      </c>
      <c r="EA2">
        <v>237</v>
      </c>
      <c r="EB2">
        <v>245</v>
      </c>
      <c r="EC2">
        <v>300</v>
      </c>
      <c r="ED2">
        <v>241</v>
      </c>
      <c r="EE2">
        <v>240</v>
      </c>
      <c r="EF2">
        <v>324</v>
      </c>
      <c r="EG2">
        <v>372</v>
      </c>
      <c r="EH2">
        <v>224</v>
      </c>
      <c r="EI2">
        <v>240</v>
      </c>
      <c r="EJ2">
        <v>233</v>
      </c>
      <c r="EK2">
        <v>266</v>
      </c>
      <c r="EL2">
        <v>242</v>
      </c>
      <c r="EM2">
        <v>244</v>
      </c>
      <c r="EN2">
        <v>241</v>
      </c>
      <c r="EO2">
        <v>254</v>
      </c>
      <c r="EP2">
        <v>452</v>
      </c>
      <c r="EQ2">
        <v>261</v>
      </c>
      <c r="ER2">
        <v>236</v>
      </c>
      <c r="ES2">
        <v>257</v>
      </c>
      <c r="ET2">
        <v>252</v>
      </c>
      <c r="EU2">
        <v>491</v>
      </c>
      <c r="EV2">
        <v>1864</v>
      </c>
      <c r="EW2">
        <v>1229</v>
      </c>
      <c r="EX2">
        <v>218</v>
      </c>
      <c r="EY2">
        <v>1777</v>
      </c>
      <c r="EZ2">
        <v>263</v>
      </c>
      <c r="FA2">
        <v>253</v>
      </c>
      <c r="FB2">
        <v>303</v>
      </c>
      <c r="FC2">
        <v>256</v>
      </c>
      <c r="FD2">
        <v>241</v>
      </c>
      <c r="FE2">
        <v>195</v>
      </c>
      <c r="FF2">
        <v>373</v>
      </c>
      <c r="FG2">
        <v>244</v>
      </c>
      <c r="FH2">
        <v>233</v>
      </c>
      <c r="FI2">
        <v>211</v>
      </c>
      <c r="FJ2">
        <v>209</v>
      </c>
      <c r="FK2">
        <v>1989</v>
      </c>
      <c r="FL2">
        <v>1824</v>
      </c>
      <c r="FM2">
        <v>1328</v>
      </c>
      <c r="FN2">
        <v>303</v>
      </c>
      <c r="FO2">
        <v>235</v>
      </c>
      <c r="FP2">
        <v>231</v>
      </c>
      <c r="FQ2">
        <v>220</v>
      </c>
      <c r="FR2">
        <v>225</v>
      </c>
      <c r="FS2">
        <v>238</v>
      </c>
      <c r="FT2">
        <v>373</v>
      </c>
      <c r="FU2">
        <v>221</v>
      </c>
      <c r="FV2">
        <v>398</v>
      </c>
      <c r="FW2">
        <v>219</v>
      </c>
      <c r="FX2">
        <v>230</v>
      </c>
      <c r="FY2">
        <v>214</v>
      </c>
      <c r="FZ2">
        <v>206</v>
      </c>
      <c r="GA2">
        <v>1928</v>
      </c>
      <c r="GB2">
        <v>197</v>
      </c>
      <c r="GC2">
        <v>282</v>
      </c>
      <c r="GD2">
        <v>239</v>
      </c>
      <c r="GE2">
        <v>277</v>
      </c>
      <c r="GF2">
        <v>266</v>
      </c>
      <c r="GG2">
        <v>219</v>
      </c>
    </row>
    <row r="3" spans="1:189" x14ac:dyDescent="0.2">
      <c r="A3" t="s">
        <v>45</v>
      </c>
      <c r="B3">
        <v>6.77</v>
      </c>
      <c r="C3">
        <v>12.6</v>
      </c>
      <c r="D3">
        <v>7.07</v>
      </c>
      <c r="E3">
        <v>9.9700000000000006</v>
      </c>
      <c r="F3">
        <v>9.3000000000000007</v>
      </c>
      <c r="G3">
        <v>7.73</v>
      </c>
      <c r="H3">
        <v>9.8000000000000007</v>
      </c>
      <c r="I3">
        <v>8.1</v>
      </c>
      <c r="J3">
        <v>8.23</v>
      </c>
      <c r="K3">
        <v>94.57</v>
      </c>
      <c r="L3">
        <v>8.23</v>
      </c>
      <c r="M3">
        <v>9.6</v>
      </c>
      <c r="N3">
        <v>7.5</v>
      </c>
      <c r="O3">
        <v>8.6</v>
      </c>
      <c r="P3">
        <v>7.1</v>
      </c>
      <c r="Q3">
        <v>7.47</v>
      </c>
      <c r="R3">
        <v>7.73</v>
      </c>
      <c r="S3">
        <v>13.53</v>
      </c>
      <c r="T3">
        <v>7.33</v>
      </c>
      <c r="U3">
        <v>8.4</v>
      </c>
      <c r="V3">
        <v>6.63</v>
      </c>
      <c r="W3">
        <v>9.07</v>
      </c>
      <c r="X3">
        <v>63.77</v>
      </c>
      <c r="Y3">
        <v>40.299999999999997</v>
      </c>
      <c r="Z3">
        <v>7.6</v>
      </c>
      <c r="AA3">
        <v>10.57</v>
      </c>
      <c r="AB3">
        <v>7.57</v>
      </c>
      <c r="AC3">
        <v>7.7</v>
      </c>
      <c r="AD3">
        <v>7.67</v>
      </c>
      <c r="AE3">
        <v>8.23</v>
      </c>
      <c r="AF3">
        <v>7.8</v>
      </c>
      <c r="AG3">
        <v>8.57</v>
      </c>
      <c r="AH3">
        <v>7.2</v>
      </c>
      <c r="AI3">
        <v>14.3</v>
      </c>
      <c r="AJ3">
        <v>8.5</v>
      </c>
      <c r="AK3">
        <v>8.4</v>
      </c>
      <c r="AL3">
        <v>9.4700000000000006</v>
      </c>
      <c r="AM3">
        <v>6.83</v>
      </c>
      <c r="AN3">
        <v>67.03</v>
      </c>
      <c r="AO3">
        <v>63.7</v>
      </c>
      <c r="AP3">
        <v>9.4700000000000006</v>
      </c>
      <c r="AQ3">
        <v>8.9</v>
      </c>
      <c r="AR3">
        <v>11.67</v>
      </c>
      <c r="AS3">
        <v>10.87</v>
      </c>
      <c r="AT3">
        <v>8.1</v>
      </c>
      <c r="AU3">
        <v>8.6</v>
      </c>
      <c r="AV3">
        <v>8.5</v>
      </c>
      <c r="AW3">
        <v>10.4</v>
      </c>
      <c r="AX3">
        <v>8.5299999999999994</v>
      </c>
      <c r="AY3">
        <v>7.53</v>
      </c>
      <c r="AZ3">
        <v>8.43</v>
      </c>
      <c r="BA3">
        <v>9.1</v>
      </c>
      <c r="BB3">
        <v>10.130000000000001</v>
      </c>
      <c r="BC3">
        <v>10.33</v>
      </c>
      <c r="BD3">
        <v>8.17</v>
      </c>
      <c r="BE3">
        <v>11.33</v>
      </c>
      <c r="BF3">
        <v>8.1</v>
      </c>
      <c r="BG3">
        <v>8.77</v>
      </c>
      <c r="BH3">
        <v>11.83</v>
      </c>
      <c r="BI3">
        <v>8.3000000000000007</v>
      </c>
      <c r="BJ3">
        <v>7.87</v>
      </c>
      <c r="BK3">
        <v>8.6</v>
      </c>
      <c r="BL3">
        <v>8.1</v>
      </c>
      <c r="BM3">
        <v>7.83</v>
      </c>
      <c r="BN3">
        <v>9</v>
      </c>
      <c r="BO3">
        <v>8.27</v>
      </c>
      <c r="BP3">
        <v>7.53</v>
      </c>
      <c r="BQ3">
        <v>10.67</v>
      </c>
      <c r="BR3">
        <v>7.7</v>
      </c>
      <c r="BS3">
        <v>68.27</v>
      </c>
      <c r="BT3">
        <v>52.1</v>
      </c>
      <c r="BU3">
        <v>67.430000000000007</v>
      </c>
      <c r="BV3">
        <v>7.5</v>
      </c>
      <c r="BW3">
        <v>8.77</v>
      </c>
      <c r="BX3">
        <v>7.67</v>
      </c>
      <c r="BY3">
        <v>7.73</v>
      </c>
      <c r="BZ3">
        <v>7.9</v>
      </c>
      <c r="CA3">
        <v>8.3000000000000007</v>
      </c>
      <c r="CB3">
        <v>8.23</v>
      </c>
      <c r="CC3">
        <v>7.27</v>
      </c>
      <c r="CD3">
        <v>8.5299999999999994</v>
      </c>
      <c r="CE3">
        <v>10</v>
      </c>
      <c r="CF3">
        <v>9.6300000000000008</v>
      </c>
      <c r="CG3">
        <v>10.029999999999999</v>
      </c>
      <c r="CH3">
        <v>6.67</v>
      </c>
      <c r="CI3">
        <v>71.7</v>
      </c>
      <c r="CJ3">
        <v>8.5</v>
      </c>
      <c r="CK3">
        <v>7.37</v>
      </c>
      <c r="CL3">
        <v>8.1</v>
      </c>
      <c r="CM3">
        <v>7.13</v>
      </c>
      <c r="CN3">
        <v>8.1300000000000008</v>
      </c>
      <c r="CO3">
        <v>8.1</v>
      </c>
      <c r="CP3">
        <v>7.8</v>
      </c>
      <c r="CQ3">
        <v>8.8000000000000007</v>
      </c>
      <c r="CR3">
        <v>8.1999999999999993</v>
      </c>
      <c r="CS3">
        <v>7.17</v>
      </c>
      <c r="CT3">
        <v>8.6</v>
      </c>
      <c r="CU3">
        <v>8.1300000000000008</v>
      </c>
      <c r="CV3">
        <v>13.37</v>
      </c>
      <c r="CW3">
        <v>9.6999999999999993</v>
      </c>
      <c r="CX3">
        <v>9.4700000000000006</v>
      </c>
      <c r="CY3">
        <v>7.43</v>
      </c>
      <c r="CZ3">
        <v>8</v>
      </c>
      <c r="DA3">
        <v>70.17</v>
      </c>
      <c r="DB3">
        <v>7.67</v>
      </c>
      <c r="DC3">
        <v>7.13</v>
      </c>
      <c r="DD3">
        <v>8.4700000000000006</v>
      </c>
      <c r="DE3">
        <v>7.17</v>
      </c>
      <c r="DF3">
        <v>9.27</v>
      </c>
      <c r="DG3">
        <v>7.73</v>
      </c>
      <c r="DH3">
        <v>8.8699999999999992</v>
      </c>
      <c r="DI3">
        <v>7.57</v>
      </c>
      <c r="DJ3">
        <v>8.33</v>
      </c>
      <c r="DK3">
        <v>8.6300000000000008</v>
      </c>
      <c r="DL3">
        <v>9.4</v>
      </c>
      <c r="DM3">
        <v>10.17</v>
      </c>
      <c r="DN3">
        <v>7.77</v>
      </c>
      <c r="DO3">
        <v>34</v>
      </c>
      <c r="DP3">
        <v>44</v>
      </c>
      <c r="DQ3">
        <v>13.03</v>
      </c>
      <c r="DR3">
        <v>6.8</v>
      </c>
      <c r="DS3">
        <v>8.1300000000000008</v>
      </c>
      <c r="DT3">
        <v>9.17</v>
      </c>
      <c r="DU3">
        <v>9.27</v>
      </c>
      <c r="DV3">
        <v>10.3</v>
      </c>
      <c r="DW3">
        <v>8.0299999999999994</v>
      </c>
      <c r="DX3">
        <v>8.23</v>
      </c>
      <c r="DY3">
        <v>8.5299999999999994</v>
      </c>
      <c r="DZ3">
        <v>8.4700000000000006</v>
      </c>
      <c r="EA3">
        <v>7.9</v>
      </c>
      <c r="EB3">
        <v>8.17</v>
      </c>
      <c r="EC3">
        <v>10</v>
      </c>
      <c r="ED3">
        <v>8.0299999999999994</v>
      </c>
      <c r="EE3">
        <v>8</v>
      </c>
      <c r="EF3">
        <v>10.8</v>
      </c>
      <c r="EG3">
        <v>12.4</v>
      </c>
      <c r="EH3">
        <v>7.47</v>
      </c>
      <c r="EI3">
        <v>8</v>
      </c>
      <c r="EJ3">
        <v>7.77</v>
      </c>
      <c r="EK3">
        <v>8.8699999999999992</v>
      </c>
      <c r="EL3">
        <v>8.07</v>
      </c>
      <c r="EM3">
        <v>8.1300000000000008</v>
      </c>
      <c r="EN3">
        <v>8.0299999999999994</v>
      </c>
      <c r="EO3">
        <v>8.4700000000000006</v>
      </c>
      <c r="EP3">
        <v>15.07</v>
      </c>
      <c r="EQ3">
        <v>8.6999999999999993</v>
      </c>
      <c r="ER3">
        <v>7.87</v>
      </c>
      <c r="ES3">
        <v>8.57</v>
      </c>
      <c r="ET3">
        <v>8.4</v>
      </c>
      <c r="EU3">
        <v>16.37</v>
      </c>
      <c r="EV3">
        <v>62.13</v>
      </c>
      <c r="EW3">
        <v>40.97</v>
      </c>
      <c r="EX3">
        <v>7.27</v>
      </c>
      <c r="EY3">
        <v>59.23</v>
      </c>
      <c r="EZ3">
        <v>8.77</v>
      </c>
      <c r="FA3">
        <v>8.43</v>
      </c>
      <c r="FB3">
        <v>10.1</v>
      </c>
      <c r="FC3">
        <v>8.5299999999999994</v>
      </c>
      <c r="FD3">
        <v>8.0299999999999994</v>
      </c>
      <c r="FE3">
        <v>6.5</v>
      </c>
      <c r="FF3">
        <v>12.43</v>
      </c>
      <c r="FG3">
        <v>8.1300000000000008</v>
      </c>
      <c r="FH3">
        <v>7.77</v>
      </c>
      <c r="FI3">
        <v>7.03</v>
      </c>
      <c r="FJ3">
        <v>6.97</v>
      </c>
      <c r="FK3">
        <v>66.3</v>
      </c>
      <c r="FL3">
        <v>60.8</v>
      </c>
      <c r="FM3">
        <v>44.27</v>
      </c>
      <c r="FN3">
        <v>10.1</v>
      </c>
      <c r="FO3">
        <v>7.83</v>
      </c>
      <c r="FP3">
        <v>7.7</v>
      </c>
      <c r="FQ3">
        <v>7.33</v>
      </c>
      <c r="FR3">
        <v>7.5</v>
      </c>
      <c r="FS3">
        <v>7.93</v>
      </c>
      <c r="FT3">
        <v>12.43</v>
      </c>
      <c r="FU3">
        <v>7.37</v>
      </c>
      <c r="FV3">
        <v>13.27</v>
      </c>
      <c r="FW3">
        <v>7.3</v>
      </c>
      <c r="FX3">
        <v>7.67</v>
      </c>
      <c r="FY3">
        <v>7.13</v>
      </c>
      <c r="FZ3">
        <v>6.87</v>
      </c>
      <c r="GA3">
        <v>64.27</v>
      </c>
      <c r="GB3">
        <v>6.57</v>
      </c>
      <c r="GC3">
        <v>9.4</v>
      </c>
      <c r="GD3">
        <v>7.97</v>
      </c>
      <c r="GE3">
        <v>9.23</v>
      </c>
      <c r="GF3">
        <v>8.8699999999999992</v>
      </c>
      <c r="GG3">
        <v>7.3</v>
      </c>
    </row>
    <row r="5" spans="1:189" x14ac:dyDescent="0.2">
      <c r="A5" t="s">
        <v>47</v>
      </c>
    </row>
    <row r="6" spans="1:189" x14ac:dyDescent="0.2">
      <c r="A6" t="s">
        <v>46</v>
      </c>
      <c r="B6">
        <v>353</v>
      </c>
      <c r="C6">
        <v>312</v>
      </c>
      <c r="D6">
        <v>262</v>
      </c>
      <c r="E6">
        <v>279</v>
      </c>
      <c r="F6">
        <v>310</v>
      </c>
      <c r="G6">
        <v>287</v>
      </c>
      <c r="H6">
        <v>279</v>
      </c>
      <c r="I6">
        <v>295</v>
      </c>
      <c r="J6">
        <v>265</v>
      </c>
      <c r="K6">
        <v>250</v>
      </c>
      <c r="L6">
        <v>250</v>
      </c>
      <c r="M6">
        <v>234</v>
      </c>
      <c r="N6">
        <v>259</v>
      </c>
      <c r="O6">
        <v>256</v>
      </c>
      <c r="P6">
        <v>253</v>
      </c>
      <c r="Q6">
        <v>314</v>
      </c>
      <c r="R6">
        <v>264</v>
      </c>
      <c r="S6">
        <v>256</v>
      </c>
      <c r="T6">
        <v>262</v>
      </c>
      <c r="U6">
        <v>272</v>
      </c>
      <c r="V6">
        <v>292</v>
      </c>
      <c r="W6">
        <v>224</v>
      </c>
      <c r="X6">
        <v>250</v>
      </c>
      <c r="Y6">
        <v>296</v>
      </c>
      <c r="Z6">
        <v>293</v>
      </c>
      <c r="AA6">
        <v>252</v>
      </c>
      <c r="AB6">
        <v>256</v>
      </c>
      <c r="AC6">
        <v>261</v>
      </c>
      <c r="AD6">
        <v>244</v>
      </c>
      <c r="AE6">
        <v>266</v>
      </c>
      <c r="AF6">
        <v>282</v>
      </c>
      <c r="AG6">
        <v>297</v>
      </c>
      <c r="AH6">
        <v>268</v>
      </c>
      <c r="AI6">
        <v>254</v>
      </c>
      <c r="AJ6">
        <v>265</v>
      </c>
      <c r="AK6">
        <v>341</v>
      </c>
      <c r="AL6">
        <v>256</v>
      </c>
      <c r="AM6">
        <v>258</v>
      </c>
      <c r="AN6">
        <v>264</v>
      </c>
      <c r="AO6">
        <v>282</v>
      </c>
      <c r="AP6">
        <v>270</v>
      </c>
      <c r="AQ6">
        <v>241</v>
      </c>
      <c r="AR6">
        <v>347</v>
      </c>
      <c r="AS6">
        <v>345</v>
      </c>
      <c r="AT6">
        <v>232</v>
      </c>
      <c r="AU6">
        <v>279</v>
      </c>
      <c r="AV6">
        <v>252</v>
      </c>
      <c r="AW6">
        <v>278</v>
      </c>
      <c r="AX6">
        <v>258</v>
      </c>
      <c r="AY6">
        <v>245</v>
      </c>
      <c r="AZ6">
        <v>307</v>
      </c>
      <c r="BA6">
        <v>273</v>
      </c>
      <c r="BB6">
        <v>251</v>
      </c>
      <c r="BC6">
        <v>380</v>
      </c>
      <c r="BD6">
        <v>236</v>
      </c>
      <c r="BE6">
        <v>304</v>
      </c>
      <c r="BF6">
        <v>268</v>
      </c>
      <c r="BG6">
        <v>254</v>
      </c>
      <c r="BH6">
        <v>270</v>
      </c>
      <c r="BI6">
        <v>260</v>
      </c>
      <c r="BJ6">
        <v>257</v>
      </c>
      <c r="BK6">
        <v>265</v>
      </c>
      <c r="BL6">
        <v>269</v>
      </c>
      <c r="BM6">
        <v>278</v>
      </c>
      <c r="BN6">
        <v>292</v>
      </c>
      <c r="BO6">
        <v>272</v>
      </c>
      <c r="BP6">
        <v>260</v>
      </c>
      <c r="BQ6">
        <v>297</v>
      </c>
      <c r="BR6">
        <v>267</v>
      </c>
      <c r="BS6">
        <v>272</v>
      </c>
      <c r="BT6">
        <v>253</v>
      </c>
      <c r="BU6">
        <v>295</v>
      </c>
      <c r="BV6">
        <v>238</v>
      </c>
      <c r="BW6">
        <v>275</v>
      </c>
      <c r="BX6">
        <v>271</v>
      </c>
      <c r="BY6">
        <v>239</v>
      </c>
      <c r="BZ6">
        <v>277</v>
      </c>
      <c r="CA6">
        <v>257</v>
      </c>
      <c r="CB6">
        <v>264</v>
      </c>
      <c r="CC6">
        <v>284</v>
      </c>
      <c r="CD6">
        <v>245</v>
      </c>
      <c r="CE6">
        <v>266</v>
      </c>
      <c r="CF6">
        <v>256</v>
      </c>
      <c r="CG6">
        <v>316</v>
      </c>
      <c r="CH6">
        <v>259</v>
      </c>
      <c r="CI6">
        <v>289</v>
      </c>
      <c r="CJ6">
        <v>641</v>
      </c>
      <c r="CK6">
        <v>949</v>
      </c>
      <c r="CL6">
        <v>274</v>
      </c>
      <c r="CM6">
        <v>259</v>
      </c>
      <c r="CN6">
        <v>253</v>
      </c>
      <c r="CO6">
        <v>288</v>
      </c>
      <c r="CP6">
        <v>325</v>
      </c>
      <c r="CQ6">
        <v>250</v>
      </c>
      <c r="CR6">
        <v>276</v>
      </c>
      <c r="CS6">
        <v>277</v>
      </c>
      <c r="CT6">
        <v>662</v>
      </c>
      <c r="CU6">
        <v>264</v>
      </c>
      <c r="CV6">
        <v>253</v>
      </c>
      <c r="CW6">
        <v>275</v>
      </c>
      <c r="CX6">
        <v>269</v>
      </c>
      <c r="CY6">
        <v>621</v>
      </c>
      <c r="CZ6">
        <v>287</v>
      </c>
      <c r="DA6">
        <v>540</v>
      </c>
      <c r="DB6">
        <v>262</v>
      </c>
      <c r="DC6">
        <v>257</v>
      </c>
      <c r="DD6">
        <v>361</v>
      </c>
      <c r="DE6">
        <v>241</v>
      </c>
      <c r="DF6">
        <v>257</v>
      </c>
      <c r="DG6">
        <v>337</v>
      </c>
      <c r="DH6">
        <v>329</v>
      </c>
      <c r="DI6">
        <v>270</v>
      </c>
      <c r="DJ6">
        <v>235</v>
      </c>
      <c r="DK6">
        <v>288</v>
      </c>
      <c r="DL6">
        <v>281</v>
      </c>
      <c r="DM6">
        <v>293</v>
      </c>
      <c r="DN6">
        <v>249</v>
      </c>
      <c r="DO6">
        <v>567</v>
      </c>
      <c r="DP6">
        <v>268</v>
      </c>
      <c r="DQ6">
        <v>1116</v>
      </c>
      <c r="DR6">
        <v>250</v>
      </c>
      <c r="DS6">
        <v>275</v>
      </c>
      <c r="DT6">
        <v>286</v>
      </c>
      <c r="DU6">
        <v>300</v>
      </c>
      <c r="DV6">
        <v>351</v>
      </c>
      <c r="DW6">
        <v>258</v>
      </c>
      <c r="DX6">
        <v>319</v>
      </c>
      <c r="DY6">
        <v>284</v>
      </c>
      <c r="DZ6">
        <v>292</v>
      </c>
      <c r="EA6">
        <v>254</v>
      </c>
      <c r="EB6">
        <v>266</v>
      </c>
      <c r="EC6">
        <v>292</v>
      </c>
      <c r="ED6">
        <v>257</v>
      </c>
      <c r="EE6">
        <v>326</v>
      </c>
      <c r="EF6">
        <v>305</v>
      </c>
      <c r="EG6">
        <v>289</v>
      </c>
      <c r="EH6">
        <v>430</v>
      </c>
      <c r="EI6">
        <v>272</v>
      </c>
      <c r="EJ6">
        <v>292</v>
      </c>
      <c r="EK6">
        <v>281</v>
      </c>
      <c r="EL6">
        <v>265</v>
      </c>
      <c r="EM6">
        <v>312</v>
      </c>
      <c r="EN6">
        <v>299</v>
      </c>
      <c r="EO6">
        <v>318</v>
      </c>
      <c r="EP6">
        <v>320</v>
      </c>
      <c r="EQ6">
        <v>263</v>
      </c>
      <c r="ER6">
        <v>252</v>
      </c>
      <c r="ES6">
        <v>309</v>
      </c>
      <c r="ET6">
        <v>303</v>
      </c>
      <c r="EU6">
        <v>272</v>
      </c>
      <c r="EV6">
        <v>815</v>
      </c>
      <c r="EW6">
        <v>294</v>
      </c>
      <c r="EX6">
        <v>280</v>
      </c>
      <c r="EY6">
        <v>258</v>
      </c>
      <c r="EZ6">
        <v>266</v>
      </c>
      <c r="FA6">
        <v>267</v>
      </c>
      <c r="FB6">
        <v>306</v>
      </c>
      <c r="FC6">
        <v>271</v>
      </c>
      <c r="FD6">
        <v>259</v>
      </c>
      <c r="FE6">
        <v>274</v>
      </c>
      <c r="FF6">
        <v>268</v>
      </c>
      <c r="FG6">
        <v>267</v>
      </c>
      <c r="FH6">
        <v>297</v>
      </c>
      <c r="FI6">
        <v>294</v>
      </c>
      <c r="FJ6">
        <v>317</v>
      </c>
      <c r="FK6">
        <v>263</v>
      </c>
      <c r="FL6">
        <v>278</v>
      </c>
      <c r="FM6">
        <v>272</v>
      </c>
      <c r="FN6">
        <v>324</v>
      </c>
      <c r="FO6">
        <v>250</v>
      </c>
      <c r="FP6">
        <v>261</v>
      </c>
      <c r="FQ6">
        <v>269</v>
      </c>
      <c r="FR6">
        <v>241</v>
      </c>
      <c r="FS6">
        <v>254</v>
      </c>
      <c r="FT6">
        <v>323</v>
      </c>
      <c r="FU6">
        <v>306</v>
      </c>
      <c r="FV6">
        <v>268</v>
      </c>
      <c r="FW6">
        <v>253</v>
      </c>
      <c r="FX6">
        <v>289</v>
      </c>
      <c r="FY6">
        <v>281</v>
      </c>
      <c r="FZ6">
        <v>259</v>
      </c>
      <c r="GA6">
        <v>272</v>
      </c>
      <c r="GB6">
        <v>290</v>
      </c>
      <c r="GC6">
        <v>275</v>
      </c>
      <c r="GD6">
        <v>255</v>
      </c>
      <c r="GE6">
        <v>283</v>
      </c>
      <c r="GF6">
        <v>288</v>
      </c>
      <c r="GG6">
        <v>269</v>
      </c>
    </row>
    <row r="7" spans="1:189" x14ac:dyDescent="0.2">
      <c r="A7" t="s">
        <v>45</v>
      </c>
      <c r="B7">
        <v>11.77</v>
      </c>
      <c r="C7">
        <v>10.4</v>
      </c>
      <c r="D7">
        <v>8.73</v>
      </c>
      <c r="E7">
        <v>9.3000000000000007</v>
      </c>
      <c r="F7">
        <v>10.33</v>
      </c>
      <c r="G7">
        <v>9.57</v>
      </c>
      <c r="H7">
        <v>9.3000000000000007</v>
      </c>
      <c r="I7">
        <v>9.83</v>
      </c>
      <c r="J7">
        <v>8.83</v>
      </c>
      <c r="K7">
        <v>8.33</v>
      </c>
      <c r="L7">
        <v>8.33</v>
      </c>
      <c r="M7">
        <v>7.8</v>
      </c>
      <c r="N7">
        <v>8.6300000000000008</v>
      </c>
      <c r="O7">
        <v>8.5299999999999994</v>
      </c>
      <c r="P7">
        <v>8.43</v>
      </c>
      <c r="Q7">
        <v>10.47</v>
      </c>
      <c r="R7">
        <v>8.8000000000000007</v>
      </c>
      <c r="S7">
        <v>8.5299999999999994</v>
      </c>
      <c r="T7">
        <v>8.73</v>
      </c>
      <c r="U7">
        <v>9.07</v>
      </c>
      <c r="V7">
        <v>9.73</v>
      </c>
      <c r="W7">
        <v>7.47</v>
      </c>
      <c r="X7">
        <v>8.33</v>
      </c>
      <c r="Y7">
        <v>9.8699999999999992</v>
      </c>
      <c r="Z7">
        <v>9.77</v>
      </c>
      <c r="AA7">
        <v>8.4</v>
      </c>
      <c r="AB7">
        <v>8.5299999999999994</v>
      </c>
      <c r="AC7">
        <v>8.6999999999999993</v>
      </c>
      <c r="AD7">
        <v>8.1300000000000008</v>
      </c>
      <c r="AE7">
        <v>8.8699999999999992</v>
      </c>
      <c r="AF7">
        <v>9.4</v>
      </c>
      <c r="AG7">
        <v>9.9</v>
      </c>
      <c r="AH7">
        <v>8.93</v>
      </c>
      <c r="AI7">
        <v>8.4700000000000006</v>
      </c>
      <c r="AJ7">
        <v>8.83</v>
      </c>
      <c r="AK7">
        <v>11.37</v>
      </c>
      <c r="AL7">
        <v>8.5299999999999994</v>
      </c>
      <c r="AM7">
        <v>8.6</v>
      </c>
      <c r="AN7">
        <v>8.8000000000000007</v>
      </c>
      <c r="AO7">
        <v>9.4</v>
      </c>
      <c r="AP7">
        <v>9</v>
      </c>
      <c r="AQ7">
        <v>8.0299999999999994</v>
      </c>
      <c r="AR7">
        <v>11.57</v>
      </c>
      <c r="AS7">
        <v>11.5</v>
      </c>
      <c r="AT7">
        <v>7.73</v>
      </c>
      <c r="AU7">
        <v>9.3000000000000007</v>
      </c>
      <c r="AV7">
        <v>8.4</v>
      </c>
      <c r="AW7">
        <v>9.27</v>
      </c>
      <c r="AX7">
        <v>8.6</v>
      </c>
      <c r="AY7">
        <v>8.17</v>
      </c>
      <c r="AZ7">
        <v>10.23</v>
      </c>
      <c r="BA7">
        <v>9.1</v>
      </c>
      <c r="BB7">
        <v>8.3699999999999992</v>
      </c>
      <c r="BC7">
        <v>12.67</v>
      </c>
      <c r="BD7">
        <v>7.87</v>
      </c>
      <c r="BE7">
        <v>10.130000000000001</v>
      </c>
      <c r="BF7">
        <v>8.93</v>
      </c>
      <c r="BG7">
        <v>8.4700000000000006</v>
      </c>
      <c r="BH7">
        <v>9</v>
      </c>
      <c r="BI7">
        <v>8.67</v>
      </c>
      <c r="BJ7">
        <v>8.57</v>
      </c>
      <c r="BK7">
        <v>8.83</v>
      </c>
      <c r="BL7">
        <v>8.9700000000000006</v>
      </c>
      <c r="BM7">
        <v>9.27</v>
      </c>
      <c r="BN7">
        <v>9.73</v>
      </c>
      <c r="BO7">
        <v>9.07</v>
      </c>
      <c r="BP7">
        <v>8.67</v>
      </c>
      <c r="BQ7">
        <v>9.9</v>
      </c>
      <c r="BR7">
        <v>8.9</v>
      </c>
      <c r="BS7">
        <v>9.07</v>
      </c>
      <c r="BT7">
        <v>8.43</v>
      </c>
      <c r="BU7">
        <v>9.83</v>
      </c>
      <c r="BV7">
        <v>7.93</v>
      </c>
      <c r="BW7">
        <v>9.17</v>
      </c>
      <c r="BX7">
        <v>9.0299999999999994</v>
      </c>
      <c r="BY7">
        <v>7.97</v>
      </c>
      <c r="BZ7">
        <v>9.23</v>
      </c>
      <c r="CA7">
        <v>8.57</v>
      </c>
      <c r="CB7">
        <v>8.8000000000000007</v>
      </c>
      <c r="CC7">
        <v>9.4700000000000006</v>
      </c>
      <c r="CD7">
        <v>8.17</v>
      </c>
      <c r="CE7">
        <v>8.8699999999999992</v>
      </c>
      <c r="CF7">
        <v>8.5299999999999994</v>
      </c>
      <c r="CG7">
        <v>10.53</v>
      </c>
      <c r="CH7">
        <v>8.6300000000000008</v>
      </c>
      <c r="CI7">
        <v>9.6300000000000008</v>
      </c>
      <c r="CJ7">
        <v>21.37</v>
      </c>
      <c r="CK7">
        <v>31.63</v>
      </c>
      <c r="CL7">
        <v>9.1300000000000008</v>
      </c>
      <c r="CM7">
        <v>8.6300000000000008</v>
      </c>
      <c r="CN7">
        <v>8.43</v>
      </c>
      <c r="CO7">
        <v>9.6</v>
      </c>
      <c r="CP7">
        <v>10.83</v>
      </c>
      <c r="CQ7">
        <v>8.33</v>
      </c>
      <c r="CR7">
        <v>9.1999999999999993</v>
      </c>
      <c r="CS7">
        <v>9.23</v>
      </c>
      <c r="CT7">
        <v>22.07</v>
      </c>
      <c r="CU7">
        <v>8.8000000000000007</v>
      </c>
      <c r="CV7">
        <v>8.43</v>
      </c>
      <c r="CW7">
        <v>9.17</v>
      </c>
      <c r="CX7">
        <v>8.9700000000000006</v>
      </c>
      <c r="CY7">
        <v>20.7</v>
      </c>
      <c r="CZ7">
        <v>9.57</v>
      </c>
      <c r="DA7">
        <v>18</v>
      </c>
      <c r="DB7">
        <v>8.73</v>
      </c>
      <c r="DC7">
        <v>8.57</v>
      </c>
      <c r="DD7">
        <v>12.03</v>
      </c>
      <c r="DE7">
        <v>8.0299999999999994</v>
      </c>
      <c r="DF7">
        <v>8.57</v>
      </c>
      <c r="DG7">
        <v>11.23</v>
      </c>
      <c r="DH7">
        <v>10.97</v>
      </c>
      <c r="DI7">
        <v>9</v>
      </c>
      <c r="DJ7">
        <v>7.83</v>
      </c>
      <c r="DK7">
        <v>9.6</v>
      </c>
      <c r="DL7">
        <v>9.3699999999999992</v>
      </c>
      <c r="DM7">
        <v>9.77</v>
      </c>
      <c r="DN7">
        <v>8.3000000000000007</v>
      </c>
      <c r="DO7">
        <v>18.899999999999999</v>
      </c>
      <c r="DP7">
        <v>8.93</v>
      </c>
      <c r="DQ7">
        <v>37.200000000000003</v>
      </c>
      <c r="DR7">
        <v>8.33</v>
      </c>
      <c r="DS7">
        <v>9.17</v>
      </c>
      <c r="DT7">
        <v>9.5299999999999994</v>
      </c>
      <c r="DU7">
        <v>10</v>
      </c>
      <c r="DV7">
        <v>11.7</v>
      </c>
      <c r="DW7">
        <v>8.6</v>
      </c>
      <c r="DX7">
        <v>10.63</v>
      </c>
      <c r="DY7">
        <v>9.4700000000000006</v>
      </c>
      <c r="DZ7">
        <v>9.73</v>
      </c>
      <c r="EA7">
        <v>8.4700000000000006</v>
      </c>
      <c r="EB7">
        <v>8.8699999999999992</v>
      </c>
      <c r="EC7">
        <v>9.73</v>
      </c>
      <c r="ED7">
        <v>8.57</v>
      </c>
      <c r="EE7">
        <v>10.87</v>
      </c>
      <c r="EF7">
        <v>10.17</v>
      </c>
      <c r="EG7">
        <v>9.6300000000000008</v>
      </c>
      <c r="EH7">
        <v>14.33</v>
      </c>
      <c r="EI7">
        <v>9.07</v>
      </c>
      <c r="EJ7">
        <v>9.73</v>
      </c>
      <c r="EK7">
        <v>9.3699999999999992</v>
      </c>
      <c r="EL7">
        <v>8.83</v>
      </c>
      <c r="EM7">
        <v>10.4</v>
      </c>
      <c r="EN7">
        <v>9.9700000000000006</v>
      </c>
      <c r="EO7">
        <v>10.6</v>
      </c>
      <c r="EP7">
        <v>10.67</v>
      </c>
      <c r="EQ7">
        <v>8.77</v>
      </c>
      <c r="ER7">
        <v>8.4</v>
      </c>
      <c r="ES7">
        <v>10.3</v>
      </c>
      <c r="ET7">
        <v>10.1</v>
      </c>
      <c r="EU7">
        <v>9.07</v>
      </c>
      <c r="EV7">
        <v>27.17</v>
      </c>
      <c r="EW7">
        <v>9.8000000000000007</v>
      </c>
      <c r="EX7">
        <v>9.33</v>
      </c>
      <c r="EY7">
        <v>8.6</v>
      </c>
      <c r="EZ7">
        <v>8.8699999999999992</v>
      </c>
      <c r="FA7">
        <v>8.9</v>
      </c>
      <c r="FB7">
        <v>10.199999999999999</v>
      </c>
      <c r="FC7">
        <v>9.0299999999999994</v>
      </c>
      <c r="FD7">
        <v>8.6300000000000008</v>
      </c>
      <c r="FE7">
        <v>9.1300000000000008</v>
      </c>
      <c r="FF7">
        <v>8.93</v>
      </c>
      <c r="FG7">
        <v>8.9</v>
      </c>
      <c r="FH7">
        <v>9.9</v>
      </c>
      <c r="FI7">
        <v>9.8000000000000007</v>
      </c>
      <c r="FJ7">
        <v>10.57</v>
      </c>
      <c r="FK7">
        <v>8.77</v>
      </c>
      <c r="FL7">
        <v>9.27</v>
      </c>
      <c r="FM7">
        <v>9.07</v>
      </c>
      <c r="FN7">
        <v>10.8</v>
      </c>
      <c r="FO7">
        <v>8.33</v>
      </c>
      <c r="FP7">
        <v>8.6999999999999993</v>
      </c>
      <c r="FQ7">
        <v>8.9700000000000006</v>
      </c>
      <c r="FR7">
        <v>8.0299999999999994</v>
      </c>
      <c r="FS7">
        <v>8.4700000000000006</v>
      </c>
      <c r="FT7">
        <v>10.77</v>
      </c>
      <c r="FU7">
        <v>10.199999999999999</v>
      </c>
      <c r="FV7">
        <v>8.93</v>
      </c>
      <c r="FW7">
        <v>8.43</v>
      </c>
      <c r="FX7">
        <v>9.6300000000000008</v>
      </c>
      <c r="FY7">
        <v>9.3699999999999992</v>
      </c>
      <c r="FZ7">
        <v>8.6300000000000008</v>
      </c>
      <c r="GA7">
        <v>9.07</v>
      </c>
      <c r="GB7">
        <v>9.67</v>
      </c>
      <c r="GC7">
        <v>9.17</v>
      </c>
      <c r="GD7">
        <v>8.5</v>
      </c>
      <c r="GE7">
        <v>9.43</v>
      </c>
      <c r="GF7">
        <v>9.6</v>
      </c>
      <c r="GG7">
        <v>8.9700000000000006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hapDB</vt:lpstr>
      <vt:lpstr>haplotype_ID</vt:lpstr>
      <vt:lpstr>chr_length</vt:lpstr>
      <vt:lpstr>miss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Dongyan Zhao</cp:lastModifiedBy>
  <dcterms:created xsi:type="dcterms:W3CDTF">2022-04-22T02:19:01Z</dcterms:created>
  <dcterms:modified xsi:type="dcterms:W3CDTF">2023-09-29T14:59:39Z</dcterms:modified>
</cp:coreProperties>
</file>